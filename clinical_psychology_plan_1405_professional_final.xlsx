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120b59a06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شبورد" sheetId="1" r:id="R4824c222c8d84c9e"/>
    <x:sheet xmlns:r="http://schemas.openxmlformats.org/officeDocument/2006/relationships" name="برنامه خرد" sheetId="2" r:id="R6216f659f64c4ebf"/>
    <x:sheet xmlns:r="http://schemas.openxmlformats.org/officeDocument/2006/relationships" name="مرور تطبیقی" sheetId="3" r:id="R0782066f98634c6b"/>
    <x:sheet xmlns:r="http://schemas.openxmlformats.org/officeDocument/2006/relationships" name="ممیزی و فرضیات" sheetId="4" r:id="Rb97ae5b2dc3348c9"/>
    <x:sheet xmlns:r="http://schemas.openxmlformats.org/officeDocument/2006/relationships" name="گزارش روزانه" sheetId="5" r:id="R6b2c88c237c74201"/>
    <x:sheet xmlns:r="http://schemas.openxmlformats.org/officeDocument/2006/relationships" name="گزارش هفتگی" sheetId="6" r:id="R48f9d5830ed1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%"/>
    <x:numFmt numFmtId="201" formatCode="0%"/>
    <x:numFmt numFmtId="202" formatCode="yyyy-mm-dd"/>
    <x:numFmt numFmtId="203" formatCode="0.0"/>
    <x:numFmt numFmtId="204" formatCode="[$-fa-IR]0.00"/>
    <x:numFmt numFmtId="205" formatCode="[$-fa-IR]0"/>
    <x:numFmt numFmtId="206" formatCode="[$-fa-IR]0.0"/>
    <x:numFmt numFmtId="207" formatCode="0.00"/>
    <x:numFmt numFmtId="208" formatCode="0"/>
    <x:numFmt numFmtId="209" formatCode="mm/dd"/>
  </x:numFmts>
  <x:fonts count="46">
    <x:font>
      <x:sz val="11"/>
      <x:name val="Carlito"/>
    </x:font>
    <x:font>
      <x:b/>
      <x:sz val="16"/>
      <x:color rgb="FFFFFFFF"/>
      <x:name val="Tahoma"/>
    </x:font>
    <x:font>
      <x:b/>
      <x:sz val="10"/>
      <x:color rgb="FFFFFFFF"/>
      <x:name val="Tahoma"/>
    </x:font>
    <x:font>
      <x:sz val="9"/>
      <x:color rgb="FF111827"/>
      <x:name val="Tahoma"/>
    </x:font>
    <x:font>
      <x:b/>
      <x:sz val="11"/>
      <x:color rgb="FFFFFFFF"/>
      <x:name val="Tahoma"/>
    </x:font>
    <x:font>
      <x:b/>
      <x:sz val="20"/>
      <x:color rgb="FF16324F"/>
      <x:name val="Tahoma"/>
    </x:font>
    <x:font>
      <x:sz val="9"/>
      <x:color rgb="FF17324D"/>
      <x:name val="Tahoma"/>
    </x:font>
    <x:font>
      <x:b/>
      <x:sz val="17"/>
      <x:color rgb="FFFFFFFF"/>
      <x:name val="Tahoma"/>
    </x:font>
    <x:font>
      <x:b/>
      <x:sz val="20"/>
      <x:color rgb="FF2563EB"/>
      <x:name val="Tahoma"/>
    </x:font>
    <x:font>
      <x:b/>
      <x:sz val="20"/>
      <x:color rgb="FF0F766E"/>
      <x:name val="Tahoma"/>
    </x:font>
    <x:font>
      <x:b/>
      <x:sz val="20"/>
      <x:color rgb="FF7C3AED"/>
      <x:name val="Tahoma"/>
    </x:font>
    <x:font>
      <x:b/>
      <x:sz val="20"/>
      <x:color rgb="FFD97706"/>
      <x:name val="Tahoma"/>
    </x:font>
    <x:font>
      <x:b/>
      <x:sz val="20"/>
      <x:color rgb="FF15803D"/>
      <x:name val="Tahoma"/>
    </x:font>
    <x:font>
      <x:b/>
      <x:sz val="19"/>
      <x:color rgb="FF0F766E"/>
      <x:name val="Tahoma"/>
    </x:font>
    <x:font>
      <x:b/>
      <x:sz val="19"/>
      <x:color rgb="FF2563EB"/>
      <x:name val="Tahoma"/>
    </x:font>
    <x:font>
      <x:b/>
      <x:sz val="19"/>
      <x:color rgb="FF7C3AED"/>
      <x:name val="Tahoma"/>
    </x:font>
    <x:font>
      <x:b/>
      <x:sz val="9"/>
      <x:color rgb="FFFFFFFF"/>
      <x:name val="Tahoma"/>
    </x:font>
    <x:font>
      <x:b/>
      <x:sz val="9"/>
      <x:color rgb="FF0F766E"/>
      <x:name val="Tahoma"/>
    </x:font>
    <x:font>
      <x:b/>
      <x:sz val="9"/>
      <x:color rgb="FFB42318"/>
      <x:name val="Tahoma"/>
    </x:font>
    <x:font>
      <x:b/>
      <x:sz val="9"/>
      <x:color rgb="FF2563EB"/>
      <x:name val="Tahoma"/>
    </x:font>
    <x:font>
      <x:b/>
      <x:sz val="9"/>
      <x:color rgb="FF15803D"/>
      <x:name val="Tahoma"/>
    </x:font>
    <x:font>
      <x:b/>
      <x:sz val="9"/>
      <x:color rgb="FF7C3AED"/>
      <x:name val="Tahoma"/>
    </x:font>
    <x:font>
      <x:b/>
      <x:sz val="9"/>
      <x:color rgb="FFD97706"/>
      <x:name val="Tahoma"/>
    </x:font>
    <x:font>
      <x:b/>
      <x:sz val="9"/>
      <x:color rgb="FF17324D"/>
      <x:name val="Tahoma"/>
    </x:font>
    <x:font>
      <x:b/>
      <x:sz val="10"/>
      <x:color rgb="FF17324D"/>
      <x:name val="Tahoma"/>
    </x:font>
    <x:font>
      <x:b/>
      <x:sz val="10"/>
      <x:color rgb="FFD97706"/>
      <x:name val="Tahoma"/>
    </x:font>
    <x:font>
      <x:sz val="9"/>
      <x:color rgb="FF7C4A03"/>
      <x:name val="Tahoma"/>
    </x:font>
    <x:font>
      <x:sz val="9"/>
      <x:color rgb="FF0F766E"/>
      <x:name val="Tahoma"/>
    </x:font>
    <x:font>
      <x:sz val="9"/>
      <x:name val="Tahoma"/>
    </x:font>
    <x:font>
      <x:b/>
      <x:sz val="19"/>
      <x:color rgb="FFD97706"/>
      <x:name val="Tahoma"/>
    </x:font>
    <x:font>
      <x:b/>
      <x:sz val="19"/>
      <x:color rgb="FF15803D"/>
      <x:name val="Tahoma"/>
    </x:font>
    <x:font>
      <x:b/>
      <x:sz val="19"/>
      <x:color rgb="FF214E70"/>
      <x:name val="Tahoma"/>
    </x:font>
    <x:font>
      <x:b/>
      <x:sz val="19"/>
      <x:color rgb="FFB42318"/>
      <x:name val="Tahoma"/>
    </x:font>
    <x:font>
      <x:b/>
      <x:sz val="12"/>
      <x:color rgb="FFFFFFFF"/>
      <x:name val="Tahoma"/>
    </x:font>
    <x:font>
      <x:b/>
      <x:sz val="14"/>
      <x:color rgb="FF0F766E"/>
      <x:name val="Tahoma"/>
    </x:font>
    <x:font>
      <x:b/>
      <x:sz val="14"/>
      <x:color rgb="FF7C3AED"/>
      <x:name val="Tahoma"/>
    </x:font>
    <x:font>
      <x:b/>
      <x:sz val="17"/>
      <x:color rgb="FF2563EB"/>
      <x:name val="Tahoma"/>
    </x:font>
    <x:font>
      <x:b/>
      <x:sz val="17"/>
      <x:color rgb="FF0F766E"/>
      <x:name val="Tahoma"/>
    </x:font>
    <x:font>
      <x:b/>
      <x:sz val="17"/>
      <x:color rgb="FF7C3AED"/>
      <x:name val="Tahoma"/>
    </x:font>
    <x:font>
      <x:b/>
      <x:sz val="17"/>
      <x:color rgb="FFD97706"/>
      <x:name val="Tahoma"/>
    </x:font>
    <x:font>
      <x:b/>
      <x:sz val="10"/>
      <x:color rgb="FF0F766E"/>
      <x:name val="Tahoma"/>
    </x:font>
    <x:font>
      <x:b/>
      <x:sz val="8"/>
      <x:color rgb="FF17324D"/>
      <x:name val="Tahoma"/>
    </x:font>
    <x:font>
      <x:sz val="8"/>
      <x:color rgb="FF17324D"/>
      <x:name val="Tahoma"/>
    </x:font>
    <x:font>
      <x:b/>
      <x:sz val="17"/>
      <x:color rgb="FF15803D"/>
      <x:name val="Tahoma"/>
    </x:font>
    <x:font>
      <x:b/>
      <x:sz val="17"/>
      <x:color rgb="FFB42318"/>
      <x:name val="Tahoma"/>
    </x:font>
    <x:font>
      <x:b/>
      <x:sz val="9"/>
      <x:color rgb="FF214E70"/>
      <x:name val="Tahoma"/>
    </x:font>
  </x:fonts>
  <x:fills count="4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E8F1F8"/>
      </x:patternFill>
    </x:fill>
    <x:fill>
      <x:patternFill patternType="solid">
        <x:fgColor rgb="FFF6F8FB"/>
      </x:patternFill>
    </x:fill>
    <x:fill>
      <x:patternFill patternType="solid">
        <x:fgColor rgb="FF17324D"/>
      </x:patternFill>
    </x:fill>
    <x:fill>
      <x:patternFill patternType="solid">
        <x:fgColor rgb="FF214E70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15803D"/>
      </x:patternFill>
    </x:fill>
    <x:fill>
      <x:patternFill patternType="solid">
        <x:fgColor rgb="FFE8F7F4"/>
      </x:patternFill>
    </x:fill>
    <x:fill>
      <x:patternFill patternType="solid">
        <x:fgColor rgb="FFEAF2FF"/>
      </x:patternFill>
    </x:fill>
    <x:fill>
      <x:patternFill patternType="solid">
        <x:fgColor rgb="FFF3EEFF"/>
      </x:patternFill>
    </x:fill>
    <x:fill>
      <x:patternFill patternType="solid">
        <x:fgColor rgb="FFFDECEC"/>
      </x:patternFill>
    </x:fill>
    <x:fill>
      <x:patternFill patternType="solid">
        <x:fgColor rgb="FFECFDF3"/>
      </x:patternFill>
    </x:fill>
    <x:fill>
      <x:patternFill patternType="solid">
        <x:fgColor rgb="FFFFF7E6"/>
      </x:patternFill>
    </x:fill>
    <x:fill>
      <x:patternFill patternType="solid">
        <x:fgColor rgb="FFF8FAFC"/>
      </x:patternFill>
    </x:fill>
    <x:fill>
      <x:patternFill patternType="solid">
        <x:fgColor rgb="FFF7F4FF"/>
      </x:patternFill>
    </x:fill>
    <x:fill>
      <x:patternFill patternType="solid">
        <x:fgColor rgb="FFF7FAFC"/>
      </x:patternFill>
    </x:fill>
    <x:fill>
      <x:patternFill patternType="solid">
        <x:fgColor rgb="FFF6F8FB"/>
      </x:patternFill>
    </x:fill>
    <x:fill>
      <x:patternFill patternType="solid">
        <x:fgColor rgb="FF17324D"/>
      </x:patternFill>
    </x:fill>
    <x:fill>
      <x:patternFill patternType="solid">
        <x:fgColor rgb="FF214E70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15803D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E8F7F4"/>
      </x:patternFill>
    </x:fill>
    <x:fill>
      <x:patternFill patternType="solid">
        <x:fgColor rgb="FFEAF2FF"/>
      </x:patternFill>
    </x:fill>
    <x:fill>
      <x:patternFill patternType="solid">
        <x:fgColor rgb="FFB42318"/>
      </x:patternFill>
    </x:fill>
    <x:fill>
      <x:patternFill patternType="solid">
        <x:fgColor rgb="FF17324D"/>
      </x:patternFill>
    </x:fill>
    <x:fill>
      <x:patternFill patternType="solid">
        <x:fgColor rgb="FFE8F7F4"/>
      </x:patternFill>
    </x:fill>
    <x:fill>
      <x:patternFill patternType="solid">
        <x:fgColor rgb="FFF3EEFF"/>
      </x:patternFill>
    </x:fill>
    <x:fill>
      <x:patternFill patternType="solid">
        <x:fgColor rgb="FF17324D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E8F7F4"/>
      </x:patternFill>
    </x:fill>
    <x:fill>
      <x:patternFill patternType="solid">
        <x:fgColor rgb="FF15803D"/>
      </x:patternFill>
    </x:fill>
    <x:fill>
      <x:patternFill patternType="solid">
        <x:fgColor rgb="FFB42318"/>
      </x:patternFill>
    </x:fill>
  </x:fills>
  <x:borders count="53">
    <x:border/>
    <x:border/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7C3AED"/>
      </x:left>
      <x:top style="thin">
        <x:color rgb="FF7C3AED"/>
      </x:top>
      <x:bottom style="thin">
        <x:color rgb="FF7C3AED"/>
      </x:bottom>
    </x:border>
    <x:border>
      <x:top style="thin">
        <x:color rgb="FF7C3AED"/>
      </x:top>
      <x:bottom style="thin">
        <x:color rgb="FF7C3AED"/>
      </x:bottom>
    </x:border>
    <x:border>
      <x:right style="thin">
        <x:color rgb="FF7C3AED"/>
      </x:right>
      <x:top style="thin">
        <x:color rgb="FF7C3AED"/>
      </x:top>
      <x:bottom style="thin">
        <x:color rgb="FF7C3AED"/>
      </x:bottom>
    </x:border>
    <x:border>
      <x:left style="thin">
        <x:color rgb="FFD97706"/>
      </x:left>
      <x:top style="thin">
        <x:color rgb="FFD97706"/>
      </x:top>
      <x:bottom style="thin">
        <x:color rgb="FFD97706"/>
      </x:bottom>
    </x:border>
    <x:border>
      <x:top style="thin">
        <x:color rgb="FFD97706"/>
      </x:top>
      <x:bottom style="thin">
        <x:color rgb="FFD97706"/>
      </x:bottom>
    </x:border>
    <x:border>
      <x:right style="thin">
        <x:color rgb="FFD97706"/>
      </x:right>
      <x:top style="thin">
        <x:color rgb="FFD97706"/>
      </x:top>
      <x:bottom style="thin">
        <x:color rgb="FFD97706"/>
      </x:bottom>
    </x:border>
    <x:border>
      <x:left style="thin">
        <x:color rgb="FF15803D"/>
      </x:left>
      <x:top style="thin">
        <x:color rgb="FF15803D"/>
      </x:top>
      <x:bottom style="thin">
        <x:color rgb="FF15803D"/>
      </x:bottom>
    </x:border>
    <x:border>
      <x:top style="thin">
        <x:color rgb="FF15803D"/>
      </x:top>
      <x:bottom style="thin">
        <x:color rgb="FF15803D"/>
      </x:bottom>
    </x:border>
    <x:border>
      <x:right style="thin">
        <x:color rgb="FF15803D"/>
      </x:right>
      <x:top style="thin">
        <x:color rgb="FF15803D"/>
      </x:top>
      <x:bottom style="thin">
        <x:color rgb="FF15803D"/>
      </x:bottom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F4C46B"/>
      </x:left>
      <x:top style="thin">
        <x:color rgb="FFF4C46B"/>
      </x:top>
    </x:border>
    <x:border>
      <x:top style="thin">
        <x:color rgb="FFF4C46B"/>
      </x:top>
    </x:border>
    <x:border>
      <x:right style="thin">
        <x:color rgb="FFF4C46B"/>
      </x:right>
      <x:top style="thin">
        <x:color rgb="FFF4C46B"/>
      </x:top>
    </x:border>
    <x:border>
      <x:left style="thin">
        <x:color rgb="FFF4C46B"/>
      </x:left>
    </x:border>
    <x:border>
      <x:right style="thin">
        <x:color rgb="FFF4C46B"/>
      </x:right>
    </x:border>
    <x:border>
      <x:left style="thin">
        <x:color rgb="FFF4C46B"/>
      </x:left>
      <x:bottom style="thin">
        <x:color rgb="FFF4C46B"/>
      </x:bottom>
    </x:border>
    <x:border>
      <x:bottom style="thin">
        <x:color rgb="FFF4C46B"/>
      </x:bottom>
    </x:border>
    <x:border>
      <x:right style="thin">
        <x:color rgb="FFF4C46B"/>
      </x:right>
      <x:bottom style="thin">
        <x:color rgb="FFF4C46B"/>
      </x:bottom>
    </x:border>
    <x:border>
      <x:left style="thin">
        <x:color rgb="FF9CD7CF"/>
      </x:left>
      <x:top style="thin">
        <x:color rgb="FF9CD7CF"/>
      </x:top>
    </x:border>
    <x:border>
      <x:top style="thin">
        <x:color rgb="FF9CD7CF"/>
      </x:top>
    </x:border>
    <x:border>
      <x:right style="thin">
        <x:color rgb="FF9CD7CF"/>
      </x:right>
      <x:top style="thin">
        <x:color rgb="FF9CD7CF"/>
      </x:top>
    </x:border>
    <x:border>
      <x:left style="thin">
        <x:color rgb="FF9CD7CF"/>
      </x:left>
    </x:border>
    <x:border>
      <x:right style="thin">
        <x:color rgb="FF9CD7CF"/>
      </x:right>
    </x:border>
    <x:border>
      <x:left style="thin">
        <x:color rgb="FF9CD7CF"/>
      </x:left>
      <x:bottom style="thin">
        <x:color rgb="FF9CD7CF"/>
      </x:bottom>
    </x:border>
    <x:border>
      <x:bottom style="thin">
        <x:color rgb="FF9CD7CF"/>
      </x:bottom>
    </x:border>
    <x:border>
      <x:right style="thin">
        <x:color rgb="FF9CD7CF"/>
      </x:right>
      <x:bottom style="thin">
        <x:color rgb="FF9CD7CF"/>
      </x:bottom>
    </x:border>
    <x:border>
      <x:left style="thin">
        <x:color rgb="FFF4C46B"/>
      </x:left>
      <x:right style="thin">
        <x:color rgb="FFF4C46B"/>
      </x:right>
      <x:top style="thin">
        <x:color rgb="FFF4C46B"/>
      </x:top>
    </x:border>
    <x:border>
      <x:left style="thin">
        <x:color rgb="FFF4C46B"/>
      </x:left>
      <x:right style="thin">
        <x:color rgb="FFF4C46B"/>
      </x:right>
    </x:border>
    <x:border>
      <x:left style="thin">
        <x:color rgb="FFF4C46B"/>
      </x:left>
      <x:right style="thin">
        <x:color rgb="FFF4C46B"/>
      </x:right>
      <x:bottom style="thin">
        <x:color rgb="FFF4C46B"/>
      </x:bottom>
    </x:border>
    <x:border>
      <x:left style="thin">
        <x:color rgb="FF9CD7CF"/>
      </x:left>
      <x:right style="thin">
        <x:color rgb="FF9CD7CF"/>
      </x:right>
      <x:top style="thin">
        <x:color rgb="FF9CD7CF"/>
      </x:top>
    </x:border>
    <x:border>
      <x:left style="thin">
        <x:color rgb="FF9CD7CF"/>
      </x:left>
      <x:right style="thin">
        <x:color rgb="FF9CD7CF"/>
      </x:right>
    </x:border>
    <x:border>
      <x:left style="thin">
        <x:color rgb="FF9CD7CF"/>
      </x:left>
      <x:right style="thin">
        <x:color rgb="FF9CD7CF"/>
      </x:right>
      <x:bottom style="thin">
        <x:color rgb="FF9CD7CF"/>
      </x:bottom>
    </x:border>
  </x:borders>
  <x:cellStyleXfs count="1">
    <x:xf numFmtId="0" fontId="0" fillId="0" borderId="0"/>
  </x:cellStyleXfs>
  <x:cellXfs count="14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right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0" fontId="3" fillId="0" borderId="1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right" wrapText="1"/>
    </x:xf>
    <x:xf numFmtId="0" fontId="6" fillId="5" borderId="0" xfId="0" applyNumberFormat="1" applyFont="1" applyFill="1" applyBorder="1" applyAlignment="1">
      <x:alignment horizontal="right" vertical="center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7" fillId="6" borderId="0" xfId="0" applyNumberFormat="1" applyFont="1" applyFill="1" applyBorder="1" applyAlignment="1">
      <x:alignment horizontal="right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 vertical="center" wrapText="1"/>
    </x:xf>
    <x:xf numFmtId="0" fontId="2" fillId="7" borderId="0" xfId="0" applyNumberFormat="1" applyFont="1" applyFill="1" applyBorder="1" applyAlignment="1">
      <x:alignment horizontal="right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right" vertical="center" wrapText="1"/>
    </x:xf>
    <x:xf numFmtId="0" fontId="2" fillId="8" borderId="0" xfId="0" applyNumberFormat="1" applyFont="1" applyFill="1" applyBorder="1" applyAlignment="1">
      <x:alignment horizontal="right" vertical="center" wrapText="1"/>
    </x:xf>
    <x:xf numFmtId="0" fontId="2" fillId="8" borderId="2" xfId="0" applyNumberFormat="1" applyFont="1" applyFill="1" applyBorder="1" applyAlignment="1">
      <x:alignment horizontal="right" vertical="center" wrapText="1"/>
    </x:xf>
    <x:xf numFmtId="0" fontId="2" fillId="8" borderId="3" xfId="0" applyNumberFormat="1" applyFont="1" applyFill="1" applyBorder="1" applyAlignment="1">
      <x:alignment horizontal="right" vertical="center" wrapText="1"/>
    </x:xf>
    <x:xf numFmtId="0" fontId="2" fillId="8" borderId="4" xfId="0" applyNumberFormat="1" applyFont="1" applyFill="1" applyBorder="1" applyAlignment="1">
      <x:alignment horizontal="right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right" vertical="center" wrapText="1"/>
    </x:xf>
    <x:xf numFmtId="0" fontId="8" fillId="9" borderId="0" xfId="0" applyNumberFormat="1" applyFont="1" applyFill="1" applyBorder="1" applyAlignment="1">
      <x:alignment horizontal="right" vertical="center" wrapText="1"/>
    </x:xf>
    <x:xf numFmtId="0" fontId="8" fillId="9" borderId="5" xfId="0" applyNumberFormat="1" applyFont="1" applyFill="1" applyBorder="1" applyAlignment="1">
      <x:alignment horizontal="right" vertical="center" wrapText="1"/>
    </x:xf>
    <x:xf numFmtId="0" fontId="8" fillId="9" borderId="6" xfId="0" applyNumberFormat="1" applyFont="1" applyFill="1" applyBorder="1" applyAlignment="1">
      <x:alignment horizontal="right" vertical="center" wrapText="1"/>
    </x:xf>
    <x:xf numFmtId="0" fontId="8" fillId="9" borderId="7" xfId="0" applyNumberFormat="1" applyFont="1" applyFill="1" applyBorder="1" applyAlignment="1">
      <x:alignment horizontal="right" vertical="center" wrapText="1"/>
    </x:xf>
    <x:xf numFmtId="0" fontId="8" fillId="9" borderId="8" xfId="0" applyNumberFormat="1" applyFont="1" applyFill="1" applyBorder="1" applyAlignment="1">
      <x:alignment horizontal="right" vertical="center" wrapText="1"/>
    </x:xf>
    <x:xf numFmtId="0" fontId="8" fillId="9" borderId="9" xfId="0" applyNumberFormat="1" applyFont="1" applyFill="1" applyBorder="1" applyAlignment="1">
      <x:alignment horizontal="right" vertical="center" wrapText="1"/>
    </x:xf>
    <x:xf numFmtId="0" fontId="8" fillId="9" borderId="10" xfId="0" applyNumberFormat="1" applyFont="1" applyFill="1" applyBorder="1" applyAlignment="1">
      <x:alignment horizontal="right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8" fillId="9" borderId="7" xfId="0" applyNumberFormat="1" applyFont="1" applyFill="1" applyBorder="1" applyAlignment="1">
      <x:alignment horizontal="center" vertical="center" wrapText="1"/>
    </x:xf>
    <x:xf numFmtId="0" fontId="8" fillId="9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8" fillId="9" borderId="1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right" vertical="center" wrapText="1"/>
    </x:xf>
    <x:xf numFmtId="0" fontId="2" fillId="10" borderId="0" xfId="0" applyNumberFormat="1" applyFont="1" applyFill="1" applyBorder="1" applyAlignment="1">
      <x:alignment horizontal="right" vertical="center" wrapText="1"/>
    </x:xf>
    <x:xf numFmtId="0" fontId="2" fillId="10" borderId="11" xfId="0" applyNumberFormat="1" applyFont="1" applyFill="1" applyBorder="1" applyAlignment="1">
      <x:alignment horizontal="right" vertical="center" wrapText="1"/>
    </x:xf>
    <x:xf numFmtId="0" fontId="2" fillId="10" borderId="12" xfId="0" applyNumberFormat="1" applyFont="1" applyFill="1" applyBorder="1" applyAlignment="1">
      <x:alignment horizontal="right" vertical="center" wrapText="1"/>
    </x:xf>
    <x:xf numFmtId="0" fontId="2" fillId="10" borderId="13" xfId="0" applyNumberFormat="1" applyFont="1" applyFill="1" applyBorder="1" applyAlignment="1">
      <x:alignment horizontal="right" vertical="center" wrapText="1"/>
    </x:xf>
    <x:xf numFmtId="0" fontId="2" fillId="10" borderId="11" xfId="0" applyNumberFormat="1" applyFont="1" applyFill="1" applyBorder="1" applyAlignment="1">
      <x:alignment horizontal="center" vertical="center" wrapText="1"/>
    </x:xf>
    <x:xf numFmtId="0" fontId="2" fillId="10" borderId="12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right" vertical="center" wrapText="1"/>
    </x:xf>
    <x:xf numFmtId="0" fontId="9" fillId="9" borderId="5" xfId="0" applyNumberFormat="1" applyFont="1" applyFill="1" applyBorder="1" applyAlignment="1">
      <x:alignment horizontal="right" vertical="center" wrapText="1"/>
    </x:xf>
    <x:xf numFmtId="0" fontId="9" fillId="9" borderId="6" xfId="0" applyNumberFormat="1" applyFont="1" applyFill="1" applyBorder="1" applyAlignment="1">
      <x:alignment horizontal="right" vertical="center" wrapText="1"/>
    </x:xf>
    <x:xf numFmtId="0" fontId="9" fillId="9" borderId="7" xfId="0" applyNumberFormat="1" applyFont="1" applyFill="1" applyBorder="1" applyAlignment="1">
      <x:alignment horizontal="right" vertical="center" wrapText="1"/>
    </x:xf>
    <x:xf numFmtId="0" fontId="9" fillId="9" borderId="8" xfId="0" applyNumberFormat="1" applyFont="1" applyFill="1" applyBorder="1" applyAlignment="1">
      <x:alignment horizontal="right" vertical="center" wrapText="1"/>
    </x:xf>
    <x:xf numFmtId="0" fontId="9" fillId="9" borderId="9" xfId="0" applyNumberFormat="1" applyFont="1" applyFill="1" applyBorder="1" applyAlignment="1">
      <x:alignment horizontal="right" vertical="center" wrapText="1"/>
    </x:xf>
    <x:xf numFmtId="0" fontId="9" fillId="9" borderId="10" xfId="0" applyNumberFormat="1" applyFont="1" applyFill="1" applyBorder="1" applyAlignment="1">
      <x:alignment horizontal="right" vertical="center" wrapText="1"/>
    </x:xf>
    <x:xf numFmtId="0" fontId="9" fillId="9" borderId="5" xfId="0" applyNumberFormat="1" applyFont="1" applyFill="1" applyBorder="1" applyAlignment="1">
      <x:alignment horizontal="center" vertical="center" wrapText="1"/>
    </x:xf>
    <x:xf numFmtId="0" fontId="9" fillId="9" borderId="6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9" fillId="9" borderId="8" xfId="0" applyNumberFormat="1" applyFont="1" applyFill="1" applyBorder="1" applyAlignment="1">
      <x:alignment horizontal="center" vertical="center" wrapText="1"/>
    </x:xf>
    <x:xf numFmtId="0" fontId="9" fillId="9" borderId="9" xfId="0" applyNumberFormat="1" applyFont="1" applyFill="1" applyBorder="1" applyAlignment="1">
      <x:alignment horizontal="center" vertical="center" wrapText="1"/>
    </x:xf>
    <x:xf numFmtId="0" fontId="9" fillId="9" borderId="1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right" vertical="center" wrapText="1"/>
    </x:xf>
    <x:xf numFmtId="0" fontId="2" fillId="11" borderId="0" xfId="0" applyNumberFormat="1" applyFont="1" applyFill="1" applyBorder="1" applyAlignment="1">
      <x:alignment horizontal="right" vertical="center" wrapText="1"/>
    </x:xf>
    <x:xf numFmtId="0" fontId="2" fillId="11" borderId="14" xfId="0" applyNumberFormat="1" applyFont="1" applyFill="1" applyBorder="1" applyAlignment="1">
      <x:alignment horizontal="right" vertical="center" wrapText="1"/>
    </x:xf>
    <x:xf numFmtId="0" fontId="2" fillId="11" borderId="15" xfId="0" applyNumberFormat="1" applyFont="1" applyFill="1" applyBorder="1" applyAlignment="1">
      <x:alignment horizontal="right" vertical="center" wrapText="1"/>
    </x:xf>
    <x:xf numFmtId="0" fontId="2" fillId="11" borderId="16" xfId="0" applyNumberFormat="1" applyFont="1" applyFill="1" applyBorder="1" applyAlignment="1">
      <x:alignment horizontal="right" vertical="center" wrapText="1"/>
    </x:xf>
    <x:xf numFmtId="0" fontId="2" fillId="11" borderId="14" xfId="0" applyNumberFormat="1" applyFont="1" applyFill="1" applyBorder="1" applyAlignment="1">
      <x:alignment horizontal="center" vertical="center" wrapText="1"/>
    </x:xf>
    <x:xf numFmtId="0" fontId="2" fillId="11" borderId="15" xfId="0" applyNumberFormat="1" applyFont="1" applyFill="1" applyBorder="1" applyAlignment="1">
      <x:alignment horizontal="center" vertical="center" wrapText="1"/>
    </x:xf>
    <x:xf numFmtId="0" fontId="2" fillId="11" borderId="16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horizontal="right" vertical="center" wrapText="1"/>
    </x:xf>
    <x:xf numFmtId="0" fontId="10" fillId="9" borderId="5" xfId="0" applyNumberFormat="1" applyFont="1" applyFill="1" applyBorder="1" applyAlignment="1">
      <x:alignment horizontal="right" vertical="center" wrapText="1"/>
    </x:xf>
    <x:xf numFmtId="0" fontId="10" fillId="9" borderId="6" xfId="0" applyNumberFormat="1" applyFont="1" applyFill="1" applyBorder="1" applyAlignment="1">
      <x:alignment horizontal="right" vertical="center" wrapText="1"/>
    </x:xf>
    <x:xf numFmtId="0" fontId="10" fillId="9" borderId="7" xfId="0" applyNumberFormat="1" applyFont="1" applyFill="1" applyBorder="1" applyAlignment="1">
      <x:alignment horizontal="right" vertical="center" wrapText="1"/>
    </x:xf>
    <x:xf numFmtId="0" fontId="10" fillId="9" borderId="8" xfId="0" applyNumberFormat="1" applyFont="1" applyFill="1" applyBorder="1" applyAlignment="1">
      <x:alignment horizontal="right" vertical="center" wrapText="1"/>
    </x:xf>
    <x:xf numFmtId="0" fontId="10" fillId="9" borderId="9" xfId="0" applyNumberFormat="1" applyFont="1" applyFill="1" applyBorder="1" applyAlignment="1">
      <x:alignment horizontal="right" vertical="center" wrapText="1"/>
    </x:xf>
    <x:xf numFmtId="0" fontId="10" fillId="9" borderId="10" xfId="0" applyNumberFormat="1" applyFont="1" applyFill="1" applyBorder="1" applyAlignment="1">
      <x:alignment horizontal="right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10" fillId="9" borderId="7" xfId="0" applyNumberFormat="1" applyFont="1" applyFill="1" applyBorder="1" applyAlignment="1">
      <x:alignment horizontal="center" vertical="center" wrapText="1"/>
    </x:xf>
    <x:xf numFmtId="0" fontId="10" fillId="9" borderId="8" xfId="0" applyNumberFormat="1" applyFont="1" applyFill="1" applyBorder="1" applyAlignment="1">
      <x:alignment horizontal="center" vertical="center" wrapText="1"/>
    </x:xf>
    <x:xf numFmtId="0" fontId="10" fillId="9" borderId="9" xfId="0" applyNumberFormat="1" applyFont="1" applyFill="1" applyBorder="1" applyAlignment="1">
      <x:alignment horizontal="center"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right" vertical="center" wrapText="1"/>
    </x:xf>
    <x:xf numFmtId="0" fontId="2" fillId="12" borderId="0" xfId="0" applyNumberFormat="1" applyFont="1" applyFill="1" applyBorder="1" applyAlignment="1">
      <x:alignment horizontal="right" vertical="center" wrapText="1"/>
    </x:xf>
    <x:xf numFmtId="0" fontId="2" fillId="12" borderId="17" xfId="0" applyNumberFormat="1" applyFont="1" applyFill="1" applyBorder="1" applyAlignment="1">
      <x:alignment horizontal="right" vertical="center" wrapText="1"/>
    </x:xf>
    <x:xf numFmtId="0" fontId="2" fillId="12" borderId="18" xfId="0" applyNumberFormat="1" applyFont="1" applyFill="1" applyBorder="1" applyAlignment="1">
      <x:alignment horizontal="right" vertical="center" wrapText="1"/>
    </x:xf>
    <x:xf numFmtId="0" fontId="2" fillId="12" borderId="19" xfId="0" applyNumberFormat="1" applyFont="1" applyFill="1" applyBorder="1" applyAlignment="1">
      <x:alignment horizontal="right" vertical="center" wrapText="1"/>
    </x:xf>
    <x:xf numFmtId="0" fontId="2" fillId="12" borderId="17" xfId="0" applyNumberFormat="1" applyFont="1" applyFill="1" applyBorder="1" applyAlignment="1">
      <x:alignment horizontal="center" vertical="center" wrapText="1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2" fillId="12" borderId="19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right" vertical="center" wrapText="1"/>
    </x:xf>
    <x:xf numFmtId="0" fontId="11" fillId="9" borderId="5" xfId="0" applyNumberFormat="1" applyFont="1" applyFill="1" applyBorder="1" applyAlignment="1">
      <x:alignment horizontal="right" vertical="center" wrapText="1"/>
    </x:xf>
    <x:xf numFmtId="0" fontId="11" fillId="9" borderId="6" xfId="0" applyNumberFormat="1" applyFont="1" applyFill="1" applyBorder="1" applyAlignment="1">
      <x:alignment horizontal="right" vertical="center" wrapText="1"/>
    </x:xf>
    <x:xf numFmtId="0" fontId="11" fillId="9" borderId="7" xfId="0" applyNumberFormat="1" applyFont="1" applyFill="1" applyBorder="1" applyAlignment="1">
      <x:alignment horizontal="right" vertical="center" wrapText="1"/>
    </x:xf>
    <x:xf numFmtId="0" fontId="11" fillId="9" borderId="8" xfId="0" applyNumberFormat="1" applyFont="1" applyFill="1" applyBorder="1" applyAlignment="1">
      <x:alignment horizontal="right" vertical="center" wrapText="1"/>
    </x:xf>
    <x:xf numFmtId="0" fontId="11" fillId="9" borderId="9" xfId="0" applyNumberFormat="1" applyFont="1" applyFill="1" applyBorder="1" applyAlignment="1">
      <x:alignment horizontal="right" vertical="center" wrapText="1"/>
    </x:xf>
    <x:xf numFmtId="0" fontId="11" fillId="9" borderId="10" xfId="0" applyNumberFormat="1" applyFont="1" applyFill="1" applyBorder="1" applyAlignment="1">
      <x:alignment horizontal="right" vertical="center" wrapText="1"/>
    </x:xf>
    <x:xf numFmtId="0" fontId="11" fillId="9" borderId="5" xfId="0" applyNumberFormat="1" applyFont="1" applyFill="1" applyBorder="1" applyAlignment="1">
      <x:alignment horizontal="center" vertical="center" wrapText="1"/>
    </x:xf>
    <x:xf numFmtId="0" fontId="11" fillId="9" borderId="6" xfId="0" applyNumberFormat="1" applyFont="1" applyFill="1" applyBorder="1" applyAlignment="1">
      <x:alignment horizontal="center" vertical="center" wrapText="1"/>
    </x:xf>
    <x:xf numFmtId="0" fontId="11" fillId="9" borderId="7" xfId="0" applyNumberFormat="1" applyFont="1" applyFill="1" applyBorder="1" applyAlignment="1">
      <x:alignment horizontal="center" vertical="center" wrapText="1"/>
    </x:xf>
    <x:xf numFmtId="0" fontId="11" fillId="9" borderId="8" xfId="0" applyNumberFormat="1" applyFont="1" applyFill="1" applyBorder="1" applyAlignment="1">
      <x:alignment horizontal="center" vertical="center" wrapText="1"/>
    </x:xf>
    <x:xf numFmtId="0" fontId="11" fillId="9" borderId="9" xfId="0" applyNumberFormat="1" applyFont="1" applyFill="1" applyBorder="1" applyAlignment="1">
      <x:alignment horizontal="center" vertical="center" wrapText="1"/>
    </x:xf>
    <x:xf numFmtId="0" fontId="11" fillId="9" borderId="1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right" vertical="center" wrapText="1"/>
    </x:xf>
    <x:xf numFmtId="0" fontId="2" fillId="13" borderId="0" xfId="0" applyNumberFormat="1" applyFont="1" applyFill="1" applyBorder="1" applyAlignment="1">
      <x:alignment horizontal="right" vertical="center" wrapText="1"/>
    </x:xf>
    <x:xf numFmtId="0" fontId="2" fillId="13" borderId="20" xfId="0" applyNumberFormat="1" applyFont="1" applyFill="1" applyBorder="1" applyAlignment="1">
      <x:alignment horizontal="right" vertical="center" wrapText="1"/>
    </x:xf>
    <x:xf numFmtId="0" fontId="2" fillId="13" borderId="21" xfId="0" applyNumberFormat="1" applyFont="1" applyFill="1" applyBorder="1" applyAlignment="1">
      <x:alignment horizontal="right" vertical="center" wrapText="1"/>
    </x:xf>
    <x:xf numFmtId="0" fontId="2" fillId="13" borderId="22" xfId="0" applyNumberFormat="1" applyFont="1" applyFill="1" applyBorder="1" applyAlignment="1">
      <x:alignment horizontal="right" vertical="center" wrapText="1"/>
    </x:xf>
    <x:xf numFmtId="0" fontId="2" fillId="13" borderId="20" xfId="0" applyNumberFormat="1" applyFont="1" applyFill="1" applyBorder="1" applyAlignment="1">
      <x:alignment horizontal="center" vertical="center" wrapText="1"/>
    </x:xf>
    <x:xf numFmtId="0" fontId="2" fillId="13" borderId="21" xfId="0" applyNumberFormat="1" applyFont="1" applyFill="1" applyBorder="1" applyAlignment="1">
      <x:alignment horizontal="center" vertical="center" wrapText="1"/>
    </x:xf>
    <x:xf numFmtId="0" fontId="2" fillId="13" borderId="22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right" vertical="center" wrapText="1"/>
    </x:xf>
    <x:xf numFmtId="0" fontId="12" fillId="9" borderId="5" xfId="0" applyNumberFormat="1" applyFont="1" applyFill="1" applyBorder="1" applyAlignment="1">
      <x:alignment horizontal="right" vertical="center" wrapText="1"/>
    </x:xf>
    <x:xf numFmtId="0" fontId="12" fillId="9" borderId="6" xfId="0" applyNumberFormat="1" applyFont="1" applyFill="1" applyBorder="1" applyAlignment="1">
      <x:alignment horizontal="right" vertical="center" wrapText="1"/>
    </x:xf>
    <x:xf numFmtId="0" fontId="12" fillId="9" borderId="7" xfId="0" applyNumberFormat="1" applyFont="1" applyFill="1" applyBorder="1" applyAlignment="1">
      <x:alignment horizontal="right" vertical="center" wrapText="1"/>
    </x:xf>
    <x:xf numFmtId="0" fontId="12" fillId="9" borderId="8" xfId="0" applyNumberFormat="1" applyFont="1" applyFill="1" applyBorder="1" applyAlignment="1">
      <x:alignment horizontal="right" vertical="center" wrapText="1"/>
    </x:xf>
    <x:xf numFmtId="0" fontId="12" fillId="9" borderId="9" xfId="0" applyNumberFormat="1" applyFont="1" applyFill="1" applyBorder="1" applyAlignment="1">
      <x:alignment horizontal="right" vertical="center" wrapText="1"/>
    </x:xf>
    <x:xf numFmtId="0" fontId="12" fillId="9" borderId="10" xfId="0" applyNumberFormat="1" applyFont="1" applyFill="1" applyBorder="1" applyAlignment="1">
      <x:alignment horizontal="right" vertical="center" wrapText="1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2" fillId="9" borderId="6" xfId="0" applyNumberFormat="1" applyFont="1" applyFill="1" applyBorder="1" applyAlignment="1">
      <x:alignment horizontal="center" vertical="center" wrapText="1"/>
    </x:xf>
    <x:xf numFmtId="0" fontId="12" fillId="9" borderId="7" xfId="0" applyNumberFormat="1" applyFont="1" applyFill="1" applyBorder="1" applyAlignment="1">
      <x:alignment horizontal="center" vertical="center" wrapText="1"/>
    </x:xf>
    <x:xf numFmtId="0" fontId="12" fillId="9" borderId="8" xfId="0" applyNumberFormat="1" applyFont="1" applyFill="1" applyBorder="1" applyAlignment="1">
      <x:alignment horizontal="center" vertical="center" wrapText="1"/>
    </x:xf>
    <x:xf numFmtId="0" fontId="12" fillId="9" borderId="9" xfId="0" applyNumberFormat="1" applyFont="1" applyFill="1" applyBorder="1" applyAlignment="1">
      <x:alignment horizontal="center" vertical="center" wrapText="1"/>
    </x:xf>
    <x:xf numFmtId="0" fontId="12" fillId="9" borderId="10" xfId="0" applyNumberFormat="1" applyFont="1" applyFill="1" applyBorder="1" applyAlignment="1">
      <x:alignment horizontal="center" vertical="center" wrapText="1"/>
    </x:xf>
    <x:xf numFmtId="200" fontId="12" fillId="9" borderId="5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right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6" fillId="14" borderId="0" xfId="0" applyNumberFormat="1" applyFont="1" applyFill="1" applyBorder="1" applyAlignment="1">
      <x:alignment horizontal="right" vertical="center" wrapText="1"/>
    </x:xf>
    <x:xf numFmtId="0" fontId="13" fillId="14" borderId="0" xfId="0" applyNumberFormat="1" applyFont="1" applyFill="1" applyBorder="1" applyAlignment="1">
      <x:alignment horizontal="right" vertical="center" wrapText="1"/>
    </x:xf>
    <x:xf numFmtId="0" fontId="13" fillId="14" borderId="5" xfId="0" applyNumberFormat="1" applyFont="1" applyFill="1" applyBorder="1" applyAlignment="1">
      <x:alignment horizontal="right" vertical="center" wrapText="1"/>
    </x:xf>
    <x:xf numFmtId="0" fontId="13" fillId="14" borderId="6" xfId="0" applyNumberFormat="1" applyFont="1" applyFill="1" applyBorder="1" applyAlignment="1">
      <x:alignment horizontal="right" vertical="center" wrapText="1"/>
    </x:xf>
    <x:xf numFmtId="0" fontId="13" fillId="14" borderId="7" xfId="0" applyNumberFormat="1" applyFont="1" applyFill="1" applyBorder="1" applyAlignment="1">
      <x:alignment horizontal="right" vertical="center" wrapText="1"/>
    </x:xf>
    <x:xf numFmtId="0" fontId="13" fillId="14" borderId="23" xfId="0" applyNumberFormat="1" applyFont="1" applyFill="1" applyBorder="1" applyAlignment="1">
      <x:alignment horizontal="right" vertical="center" wrapText="1"/>
    </x:xf>
    <x:xf numFmtId="0" fontId="13" fillId="14" xfId="0" applyNumberFormat="1" applyFont="1" applyFill="1" applyBorder="0" applyAlignment="1">
      <x:alignment horizontal="right" vertical="center" wrapText="1"/>
    </x:xf>
    <x:xf numFmtId="0" fontId="13" fillId="14" borderId="24" xfId="0" applyNumberFormat="1" applyFont="1" applyFill="1" applyBorder="1" applyAlignment="1">
      <x:alignment horizontal="right" vertical="center" wrapText="1"/>
    </x:xf>
    <x:xf numFmtId="0" fontId="13" fillId="14" borderId="8" xfId="0" applyNumberFormat="1" applyFont="1" applyFill="1" applyBorder="1" applyAlignment="1">
      <x:alignment horizontal="right" vertical="center" wrapText="1"/>
    </x:xf>
    <x:xf numFmtId="0" fontId="13" fillId="14" borderId="9" xfId="0" applyNumberFormat="1" applyFont="1" applyFill="1" applyBorder="1" applyAlignment="1">
      <x:alignment horizontal="right" vertical="center" wrapText="1"/>
    </x:xf>
    <x:xf numFmtId="0" fontId="13" fillId="14" borderId="10" xfId="0" applyNumberFormat="1" applyFont="1" applyFill="1" applyBorder="1" applyAlignment="1">
      <x:alignment horizontal="right" vertical="center" wrapText="1"/>
    </x:xf>
    <x:xf numFmtId="0" fontId="13" fillId="14" borderId="5" xfId="0" applyNumberFormat="1" applyFont="1" applyFill="1" applyBorder="1" applyAlignment="1">
      <x:alignment horizontal="center" vertical="center" wrapText="1"/>
    </x:xf>
    <x:xf numFmtId="0" fontId="13" fillId="14" borderId="6" xfId="0" applyNumberFormat="1" applyFont="1" applyFill="1" applyBorder="1" applyAlignment="1">
      <x:alignment horizontal="center" vertical="center" wrapText="1"/>
    </x:xf>
    <x:xf numFmtId="0" fontId="13" fillId="14" borderId="7" xfId="0" applyNumberFormat="1" applyFont="1" applyFill="1" applyBorder="1" applyAlignment="1">
      <x:alignment horizontal="center" vertical="center" wrapText="1"/>
    </x:xf>
    <x:xf numFmtId="0" fontId="13" fillId="14" borderId="23" xfId="0" applyNumberFormat="1" applyFont="1" applyFill="1" applyBorder="1" applyAlignment="1">
      <x:alignment horizontal="center" vertical="center" wrapText="1"/>
    </x:xf>
    <x:xf numFmtId="0" fontId="13" fillId="14" xfId="0" applyNumberFormat="1" applyFont="1" applyFill="1" applyBorder="0" applyAlignment="1">
      <x:alignment horizontal="center" vertical="center" wrapText="1"/>
    </x:xf>
    <x:xf numFmtId="0" fontId="13" fillId="14" borderId="24" xfId="0" applyNumberFormat="1" applyFont="1" applyFill="1" applyBorder="1" applyAlignment="1">
      <x:alignment horizontal="center" vertical="center" wrapText="1"/>
    </x:xf>
    <x:xf numFmtId="0" fontId="13" fillId="14" borderId="8" xfId="0" applyNumberFormat="1" applyFont="1" applyFill="1" applyBorder="1" applyAlignment="1">
      <x:alignment horizontal="center" vertical="center" wrapText="1"/>
    </x:xf>
    <x:xf numFmtId="0" fontId="13" fillId="14" borderId="9" xfId="0" applyNumberFormat="1" applyFont="1" applyFill="1" applyBorder="1" applyAlignment="1">
      <x:alignment horizontal="center" vertical="center" wrapText="1"/>
    </x:xf>
    <x:xf numFmtId="0" fontId="13" fillId="14" borderId="10" xfId="0" applyNumberFormat="1" applyFont="1" applyFill="1" applyBorder="1" applyAlignment="1">
      <x:alignment horizontal="center" vertical="center" wrapText="1"/>
    </x:xf>
    <x:xf numFmtId="201" fontId="13" fillId="14" borderId="5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right" vertical="center" wrapText="1"/>
    </x:xf>
    <x:xf numFmtId="0" fontId="14" fillId="15" borderId="0" xfId="0" applyNumberFormat="1" applyFont="1" applyFill="1" applyBorder="1" applyAlignment="1">
      <x:alignment horizontal="right" vertical="center" wrapText="1"/>
    </x:xf>
    <x:xf numFmtId="0" fontId="14" fillId="15" borderId="5" xfId="0" applyNumberFormat="1" applyFont="1" applyFill="1" applyBorder="1" applyAlignment="1">
      <x:alignment horizontal="right" vertical="center" wrapText="1"/>
    </x:xf>
    <x:xf numFmtId="0" fontId="14" fillId="15" borderId="6" xfId="0" applyNumberFormat="1" applyFont="1" applyFill="1" applyBorder="1" applyAlignment="1">
      <x:alignment horizontal="right" vertical="center" wrapText="1"/>
    </x:xf>
    <x:xf numFmtId="0" fontId="14" fillId="15" borderId="7" xfId="0" applyNumberFormat="1" applyFont="1" applyFill="1" applyBorder="1" applyAlignment="1">
      <x:alignment horizontal="right" vertical="center" wrapText="1"/>
    </x:xf>
    <x:xf numFmtId="0" fontId="14" fillId="15" borderId="23" xfId="0" applyNumberFormat="1" applyFont="1" applyFill="1" applyBorder="1" applyAlignment="1">
      <x:alignment horizontal="right" vertical="center" wrapText="1"/>
    </x:xf>
    <x:xf numFmtId="0" fontId="14" fillId="15" xfId="0" applyNumberFormat="1" applyFont="1" applyFill="1" applyBorder="0" applyAlignment="1">
      <x:alignment horizontal="right" vertical="center" wrapText="1"/>
    </x:xf>
    <x:xf numFmtId="0" fontId="14" fillId="15" borderId="24" xfId="0" applyNumberFormat="1" applyFont="1" applyFill="1" applyBorder="1" applyAlignment="1">
      <x:alignment horizontal="right" vertical="center" wrapText="1"/>
    </x:xf>
    <x:xf numFmtId="0" fontId="14" fillId="15" borderId="8" xfId="0" applyNumberFormat="1" applyFont="1" applyFill="1" applyBorder="1" applyAlignment="1">
      <x:alignment horizontal="right" vertical="center" wrapText="1"/>
    </x:xf>
    <x:xf numFmtId="0" fontId="14" fillId="15" borderId="9" xfId="0" applyNumberFormat="1" applyFont="1" applyFill="1" applyBorder="1" applyAlignment="1">
      <x:alignment horizontal="right" vertical="center" wrapText="1"/>
    </x:xf>
    <x:xf numFmtId="0" fontId="14" fillId="15" borderId="10" xfId="0" applyNumberFormat="1" applyFont="1" applyFill="1" applyBorder="1" applyAlignment="1">
      <x:alignment horizontal="right" vertical="center" wrapText="1"/>
    </x:xf>
    <x:xf numFmtId="0" fontId="14" fillId="15" borderId="5" xfId="0" applyNumberFormat="1" applyFont="1" applyFill="1" applyBorder="1" applyAlignment="1">
      <x:alignment horizontal="center" vertical="center" wrapText="1"/>
    </x:xf>
    <x:xf numFmtId="0" fontId="14" fillId="15" borderId="6" xfId="0" applyNumberFormat="1" applyFont="1" applyFill="1" applyBorder="1" applyAlignment="1">
      <x:alignment horizontal="center" vertical="center" wrapText="1"/>
    </x:xf>
    <x:xf numFmtId="0" fontId="14" fillId="15" borderId="7" xfId="0" applyNumberFormat="1" applyFont="1" applyFill="1" applyBorder="1" applyAlignment="1">
      <x:alignment horizontal="center" vertical="center" wrapText="1"/>
    </x:xf>
    <x:xf numFmtId="0" fontId="14" fillId="15" borderId="23" xfId="0" applyNumberFormat="1" applyFont="1" applyFill="1" applyBorder="1" applyAlignment="1">
      <x:alignment horizontal="center" vertical="center" wrapText="1"/>
    </x:xf>
    <x:xf numFmtId="0" fontId="14" fillId="15" xfId="0" applyNumberFormat="1" applyFont="1" applyFill="1" applyBorder="0" applyAlignment="1">
      <x:alignment horizontal="center" vertical="center" wrapText="1"/>
    </x:xf>
    <x:xf numFmtId="0" fontId="14" fillId="15" borderId="24" xfId="0" applyNumberFormat="1" applyFont="1" applyFill="1" applyBorder="1" applyAlignment="1">
      <x:alignment horizontal="center" vertical="center" wrapText="1"/>
    </x:xf>
    <x:xf numFmtId="0" fontId="14" fillId="15" borderId="8" xfId="0" applyNumberFormat="1" applyFont="1" applyFill="1" applyBorder="1" applyAlignment="1">
      <x:alignment horizontal="center" vertical="center" wrapText="1"/>
    </x:xf>
    <x:xf numFmtId="0" fontId="14" fillId="15" borderId="9" xfId="0" applyNumberFormat="1" applyFont="1" applyFill="1" applyBorder="1" applyAlignment="1">
      <x:alignment horizontal="center" vertical="center" wrapText="1"/>
    </x:xf>
    <x:xf numFmtId="0" fontId="14" fillId="15" borderId="10" xfId="0" applyNumberFormat="1" applyFont="1" applyFill="1" applyBorder="1" applyAlignment="1">
      <x:alignment horizontal="center" vertical="center" wrapText="1"/>
    </x:xf>
    <x:xf numFmtId="203" fontId="14" fillId="15" borderId="5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right" vertical="center" wrapText="1"/>
    </x:xf>
    <x:xf numFmtId="0" fontId="15" fillId="16" borderId="0" xfId="0" applyNumberFormat="1" applyFont="1" applyFill="1" applyBorder="1" applyAlignment="1">
      <x:alignment horizontal="right" vertical="center" wrapText="1"/>
    </x:xf>
    <x:xf numFmtId="0" fontId="15" fillId="16" borderId="5" xfId="0" applyNumberFormat="1" applyFont="1" applyFill="1" applyBorder="1" applyAlignment="1">
      <x:alignment horizontal="right" vertical="center" wrapText="1"/>
    </x:xf>
    <x:xf numFmtId="0" fontId="15" fillId="16" borderId="6" xfId="0" applyNumberFormat="1" applyFont="1" applyFill="1" applyBorder="1" applyAlignment="1">
      <x:alignment horizontal="right" vertical="center" wrapText="1"/>
    </x:xf>
    <x:xf numFmtId="0" fontId="15" fillId="16" borderId="7" xfId="0" applyNumberFormat="1" applyFont="1" applyFill="1" applyBorder="1" applyAlignment="1">
      <x:alignment horizontal="right" vertical="center" wrapText="1"/>
    </x:xf>
    <x:xf numFmtId="0" fontId="15" fillId="16" borderId="23" xfId="0" applyNumberFormat="1" applyFont="1" applyFill="1" applyBorder="1" applyAlignment="1">
      <x:alignment horizontal="right" vertical="center" wrapText="1"/>
    </x:xf>
    <x:xf numFmtId="0" fontId="15" fillId="16" xfId="0" applyNumberFormat="1" applyFont="1" applyFill="1" applyBorder="0" applyAlignment="1">
      <x:alignment horizontal="right" vertical="center" wrapText="1"/>
    </x:xf>
    <x:xf numFmtId="0" fontId="15" fillId="16" borderId="24" xfId="0" applyNumberFormat="1" applyFont="1" applyFill="1" applyBorder="1" applyAlignment="1">
      <x:alignment horizontal="right" vertical="center" wrapText="1"/>
    </x:xf>
    <x:xf numFmtId="0" fontId="15" fillId="16" borderId="8" xfId="0" applyNumberFormat="1" applyFont="1" applyFill="1" applyBorder="1" applyAlignment="1">
      <x:alignment horizontal="right" vertical="center" wrapText="1"/>
    </x:xf>
    <x:xf numFmtId="0" fontId="15" fillId="16" borderId="9" xfId="0" applyNumberFormat="1" applyFont="1" applyFill="1" applyBorder="1" applyAlignment="1">
      <x:alignment horizontal="right" vertical="center" wrapText="1"/>
    </x:xf>
    <x:xf numFmtId="0" fontId="15" fillId="16" borderId="10" xfId="0" applyNumberFormat="1" applyFont="1" applyFill="1" applyBorder="1" applyAlignment="1">
      <x:alignment horizontal="right" vertical="center" wrapText="1"/>
    </x:xf>
    <x:xf numFmtId="0" fontId="15" fillId="16" borderId="5" xfId="0" applyNumberFormat="1" applyFont="1" applyFill="1" applyBorder="1" applyAlignment="1">
      <x:alignment horizontal="center" vertical="center" wrapText="1"/>
    </x:xf>
    <x:xf numFmtId="0" fontId="15" fillId="16" borderId="6" xfId="0" applyNumberFormat="1" applyFont="1" applyFill="1" applyBorder="1" applyAlignment="1">
      <x:alignment horizontal="center" vertical="center" wrapText="1"/>
    </x:xf>
    <x:xf numFmtId="0" fontId="15" fillId="16" borderId="7" xfId="0" applyNumberFormat="1" applyFont="1" applyFill="1" applyBorder="1" applyAlignment="1">
      <x:alignment horizontal="center" vertical="center" wrapText="1"/>
    </x:xf>
    <x:xf numFmtId="0" fontId="15" fillId="16" borderId="23" xfId="0" applyNumberFormat="1" applyFont="1" applyFill="1" applyBorder="1" applyAlignment="1">
      <x:alignment horizontal="center" vertical="center" wrapText="1"/>
    </x:xf>
    <x:xf numFmtId="0" fontId="15" fillId="16" xfId="0" applyNumberFormat="1" applyFont="1" applyFill="1" applyBorder="0" applyAlignment="1">
      <x:alignment horizontal="center" vertical="center" wrapText="1"/>
    </x:xf>
    <x:xf numFmtId="0" fontId="15" fillId="16" borderId="24" xfId="0" applyNumberFormat="1" applyFont="1" applyFill="1" applyBorder="1" applyAlignment="1">
      <x:alignment horizontal="center" vertical="center" wrapText="1"/>
    </x:xf>
    <x:xf numFmtId="0" fontId="15" fillId="16" borderId="8" xfId="0" applyNumberFormat="1" applyFont="1" applyFill="1" applyBorder="1" applyAlignment="1">
      <x:alignment horizontal="center" vertical="center" wrapText="1"/>
    </x:xf>
    <x:xf numFmtId="0" fontId="15" fillId="16" borderId="9" xfId="0" applyNumberFormat="1" applyFont="1" applyFill="1" applyBorder="1" applyAlignment="1">
      <x:alignment horizontal="center" vertical="center" wrapText="1"/>
    </x:xf>
    <x:xf numFmtId="0" fontId="15" fillId="16" borderId="10" xfId="0" applyNumberFormat="1" applyFont="1" applyFill="1" applyBorder="1" applyAlignment="1">
      <x:alignment horizontal="center" vertical="center" wrapText="1"/>
    </x:xf>
    <x:xf numFmtId="203" fontId="15" fillId="16" borderId="5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right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right" vertical="center" wrapText="1"/>
    </x:xf>
    <x:xf numFmtId="0" fontId="16" fillId="6" borderId="25" xfId="0" applyNumberFormat="1" applyFont="1" applyFill="1" applyBorder="1" applyAlignment="1">
      <x:alignment horizontal="right" vertical="center" wrapText="1"/>
    </x:xf>
    <x:xf numFmtId="0" fontId="16" fillId="6" borderId="26" xfId="0" applyNumberFormat="1" applyFont="1" applyFill="1" applyBorder="1" applyAlignment="1">
      <x:alignment horizontal="right" vertical="center" wrapText="1"/>
    </x:xf>
    <x:xf numFmtId="0" fontId="16" fillId="6" borderId="27" xfId="0" applyNumberFormat="1" applyFont="1" applyFill="1" applyBorder="1" applyAlignment="1">
      <x:alignment horizontal="right" vertical="center" wrapText="1"/>
    </x:xf>
    <x:xf numFmtId="0" fontId="16" fillId="6" borderId="25" xfId="0" applyNumberFormat="1" applyFont="1" applyFill="1" applyBorder="1" applyAlignment="1">
      <x:alignment horizontal="center" vertical="center" wrapText="1"/>
    </x:xf>
    <x:xf numFmtId="0" fontId="16" fillId="6" borderId="26" xfId="0" applyNumberFormat="1" applyFont="1" applyFill="1" applyBorder="1" applyAlignment="1">
      <x:alignment horizontal="center" vertical="center" wrapText="1"/>
    </x:xf>
    <x:xf numFmtId="0" fontId="16" fillId="6" borderId="27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right" vertical="center" wrapText="1"/>
    </x:xf>
    <x:xf numFmtId="0" fontId="6" fillId="17" borderId="25" xfId="0" applyNumberFormat="1" applyFont="1" applyFill="1" applyBorder="1" applyAlignment="1">
      <x:alignment horizontal="right" vertical="center" wrapText="1"/>
    </x:xf>
    <x:xf numFmtId="0" fontId="6" fillId="17" borderId="26" xfId="0" applyNumberFormat="1" applyFont="1" applyFill="1" applyBorder="1" applyAlignment="1">
      <x:alignment horizontal="right" vertical="center" wrapText="1"/>
    </x:xf>
    <x:xf numFmtId="0" fontId="6" fillId="17" borderId="27" xfId="0" applyNumberFormat="1" applyFont="1" applyFill="1" applyBorder="1" applyAlignment="1">
      <x:alignment horizontal="right" vertical="center" wrapText="1"/>
    </x:xf>
    <x:xf numFmtId="0" fontId="6" fillId="17" borderId="25" xfId="0" applyNumberFormat="1" applyFont="1" applyFill="1" applyBorder="1" applyAlignment="1">
      <x:alignment horizontal="center" vertical="center" wrapText="1"/>
    </x:xf>
    <x:xf numFmtId="0" fontId="6" fillId="17" borderId="26" xfId="0" applyNumberFormat="1" applyFont="1" applyFill="1" applyBorder="1" applyAlignment="1">
      <x:alignment horizontal="center" vertical="center" wrapText="1"/>
    </x:xf>
    <x:xf numFmtId="0" fontId="6" fillId="17" borderId="27" xfId="0" applyNumberFormat="1" applyFont="1" applyFill="1" applyBorder="1" applyAlignment="1">
      <x:alignment horizontal="center" vertical="center" wrapText="1"/>
    </x:xf>
    <x:xf numFmtId="0" fontId="6" fillId="15" borderId="25" xfId="0" applyNumberFormat="1" applyFont="1" applyFill="1" applyBorder="1" applyAlignment="1">
      <x:alignment horizontal="right" vertical="center" wrapText="1"/>
    </x:xf>
    <x:xf numFmtId="0" fontId="6" fillId="15" borderId="26" xfId="0" applyNumberFormat="1" applyFont="1" applyFill="1" applyBorder="1" applyAlignment="1">
      <x:alignment horizontal="right" vertical="center" wrapText="1"/>
    </x:xf>
    <x:xf numFmtId="0" fontId="6" fillId="15" borderId="27" xfId="0" applyNumberFormat="1" applyFont="1" applyFill="1" applyBorder="1" applyAlignment="1">
      <x:alignment horizontal="right" vertical="center" wrapText="1"/>
    </x:xf>
    <x:xf numFmtId="0" fontId="6" fillId="15" borderId="25" xfId="0" applyNumberFormat="1" applyFont="1" applyFill="1" applyBorder="1" applyAlignment="1">
      <x:alignment horizontal="center" vertical="center" wrapText="1"/>
    </x:xf>
    <x:xf numFmtId="0" fontId="6" fillId="15" borderId="26" xfId="0" applyNumberFormat="1" applyFont="1" applyFill="1" applyBorder="1" applyAlignment="1">
      <x:alignment horizontal="center" vertical="center" wrapText="1"/>
    </x:xf>
    <x:xf numFmtId="0" fontId="6" fillId="15" borderId="27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horizontal="right" vertical="center" wrapText="1"/>
    </x:xf>
    <x:xf numFmtId="0" fontId="6" fillId="18" borderId="25" xfId="0" applyNumberFormat="1" applyFont="1" applyFill="1" applyBorder="1" applyAlignment="1">
      <x:alignment horizontal="right" vertical="center" wrapText="1"/>
    </x:xf>
    <x:xf numFmtId="0" fontId="6" fillId="18" borderId="26" xfId="0" applyNumberFormat="1" applyFont="1" applyFill="1" applyBorder="1" applyAlignment="1">
      <x:alignment horizontal="right" vertical="center" wrapText="1"/>
    </x:xf>
    <x:xf numFmtId="0" fontId="6" fillId="18" borderId="27" xfId="0" applyNumberFormat="1" applyFont="1" applyFill="1" applyBorder="1" applyAlignment="1">
      <x:alignment horizontal="right" vertical="center" wrapText="1"/>
    </x:xf>
    <x:xf numFmtId="0" fontId="6" fillId="18" borderId="25" xfId="0" applyNumberFormat="1" applyFont="1" applyFill="1" applyBorder="1" applyAlignment="1">
      <x:alignment horizontal="center" vertical="center" wrapText="1"/>
    </x:xf>
    <x:xf numFmtId="0" fontId="6" fillId="18" borderId="26" xfId="0" applyNumberFormat="1" applyFont="1" applyFill="1" applyBorder="1" applyAlignment="1">
      <x:alignment horizontal="center" vertical="center" wrapText="1"/>
    </x:xf>
    <x:xf numFmtId="0" fontId="6" fillId="18" borderId="27" xfId="0" applyNumberFormat="1" applyFont="1" applyFill="1" applyBorder="1" applyAlignment="1">
      <x:alignment horizontal="center" vertical="center" wrapText="1"/>
    </x:xf>
    <x:xf numFmtId="204" fontId="6" fillId="17" borderId="26" xfId="0" applyNumberFormat="1" applyFont="1" applyFill="1" applyBorder="1" applyAlignment="1">
      <x:alignment horizontal="center" vertical="center" wrapText="1"/>
    </x:xf>
    <x:xf numFmtId="204" fontId="6" fillId="15" borderId="26" xfId="0" applyNumberFormat="1" applyFont="1" applyFill="1" applyBorder="1" applyAlignment="1">
      <x:alignment horizontal="center" vertical="center" wrapText="1"/>
    </x:xf>
    <x:xf numFmtId="204" fontId="6" fillId="18" borderId="26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right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right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right" vertical="center" wrapText="1"/>
    </x:xf>
    <x:xf numFmtId="0" fontId="6" fillId="9" borderId="6" xfId="0" applyNumberFormat="1" applyFont="1" applyFill="1" applyBorder="1" applyAlignment="1">
      <x:alignment horizontal="right" vertical="center" wrapText="1"/>
    </x:xf>
    <x:xf numFmtId="0" fontId="6" fillId="9" borderId="7" xfId="0" applyNumberFormat="1" applyFont="1" applyFill="1" applyBorder="1" applyAlignment="1">
      <x:alignment horizontal="right" vertical="center" wrapText="1"/>
    </x:xf>
    <x:xf numFmtId="0" fontId="6" fillId="9" borderId="23" xfId="0" applyNumberFormat="1" applyFont="1" applyFill="1" applyBorder="1" applyAlignment="1">
      <x:alignment horizontal="right" vertical="center" wrapText="1"/>
    </x:xf>
    <x:xf numFmtId="0" fontId="6" fillId="9" xfId="0" applyNumberFormat="1" applyFont="1" applyFill="1" applyBorder="0" applyAlignment="1">
      <x:alignment horizontal="right" vertical="center" wrapText="1"/>
    </x:xf>
    <x:xf numFmtId="0" fontId="6" fillId="9" borderId="24" xfId="0" applyNumberFormat="1" applyFont="1" applyFill="1" applyBorder="1" applyAlignment="1">
      <x:alignment horizontal="right" vertical="center" wrapText="1"/>
    </x:xf>
    <x:xf numFmtId="0" fontId="6" fillId="9" borderId="8" xfId="0" applyNumberFormat="1" applyFont="1" applyFill="1" applyBorder="1" applyAlignment="1">
      <x:alignment horizontal="right" vertical="center" wrapText="1"/>
    </x:xf>
    <x:xf numFmtId="0" fontId="6" fillId="9" borderId="9" xfId="0" applyNumberFormat="1" applyFont="1" applyFill="1" applyBorder="1" applyAlignment="1">
      <x:alignment horizontal="right" vertical="center" wrapText="1"/>
    </x:xf>
    <x:xf numFmtId="0" fontId="6" fillId="9" borderId="10" xfId="0" applyNumberFormat="1" applyFont="1" applyFill="1" applyBorder="1" applyAlignment="1">
      <x:alignment horizontal="right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23" xfId="0" applyNumberFormat="1" applyFont="1" applyFill="1" applyBorder="1" applyAlignment="1">
      <x:alignment horizontal="center" vertical="center" wrapText="1"/>
    </x:xf>
    <x:xf numFmtId="0" fontId="6" fillId="9" xfId="0" applyNumberFormat="1" applyFont="1" applyFill="1" applyBorder="0" applyAlignment="1">
      <x:alignment horizontal="center" vertical="center" wrapText="1"/>
    </x:xf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205" fontId="6" fillId="9" borderId="5" xfId="0" applyNumberFormat="1" applyFont="1" applyFill="1" applyBorder="1" applyAlignment="1">
      <x:alignment horizontal="center" vertical="center" wrapText="1"/>
    </x:xf>
    <x:xf numFmtId="205" fontId="6" fillId="9" borderId="6" xfId="0" applyNumberFormat="1" applyFont="1" applyFill="1" applyBorder="1" applyAlignment="1">
      <x:alignment horizontal="center" vertical="center" wrapText="1"/>
    </x:xf>
    <x:xf numFmtId="205" fontId="6" fillId="9" borderId="23" xfId="0" applyNumberFormat="1" applyFont="1" applyFill="1" applyBorder="1" applyAlignment="1">
      <x:alignment horizontal="center" vertical="center" wrapText="1"/>
    </x:xf>
    <x:xf numFmtId="205" fontId="6" fillId="9" xfId="0" applyNumberFormat="1" applyFont="1" applyFill="1" applyBorder="0" applyAlignment="1">
      <x:alignment horizontal="center" vertical="center" wrapText="1"/>
    </x:xf>
    <x:xf numFmtId="205" fontId="6" fillId="9" borderId="8" xfId="0" applyNumberFormat="1" applyFont="1" applyFill="1" applyBorder="1" applyAlignment="1">
      <x:alignment horizontal="center" vertical="center" wrapText="1"/>
    </x:xf>
    <x:xf numFmtId="205" fontId="6" fillId="9" borderId="9" xfId="0" applyNumberFormat="1" applyFont="1" applyFill="1" applyBorder="1" applyAlignment="1">
      <x:alignment horizontal="center" vertical="center" wrapText="1"/>
    </x:xf>
    <x:xf numFmtId="200" fontId="6" fillId="9" borderId="6" xfId="0" applyNumberFormat="1" applyFont="1" applyFill="1" applyBorder="1" applyAlignment="1">
      <x:alignment horizontal="center" vertical="center" wrapText="1"/>
    </x:xf>
    <x:xf numFmtId="200" fontId="6" fillId="9" xfId="0" applyNumberFormat="1" applyFont="1" applyFill="1" applyBorder="0" applyAlignment="1">
      <x:alignment horizontal="center" vertical="center" wrapText="1"/>
    </x:xf>
    <x:xf numFmtId="200" fontId="6" fillId="9" borderId="9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right" vertical="center" wrapText="1"/>
    </x:xf>
    <x:xf numFmtId="0" fontId="6" fillId="7" borderId="23" xfId="0" applyNumberFormat="1" applyFont="1" applyFill="1" applyBorder="1" applyAlignment="1">
      <x:alignment horizontal="right" vertical="center" wrapText="1"/>
    </x:xf>
    <x:xf numFmtId="0" fontId="6" fillId="7" borderId="8" xfId="0" applyNumberFormat="1" applyFont="1" applyFill="1" applyBorder="1" applyAlignment="1">
      <x:alignment horizontal="right" vertical="center" wrapText="1"/>
    </x:xf>
    <x:xf numFmtId="0" fontId="4" fillId="7" borderId="5" xfId="0" applyNumberFormat="1" applyFont="1" applyFill="1" applyBorder="1" applyAlignment="1">
      <x:alignment horizontal="right" vertical="center" wrapText="1"/>
    </x:xf>
    <x:xf numFmtId="0" fontId="4" fillId="7" borderId="23" xfId="0" applyNumberFormat="1" applyFont="1" applyFill="1" applyBorder="1" applyAlignment="1">
      <x:alignment horizontal="right" vertical="center" wrapText="1"/>
    </x:xf>
    <x:xf numFmtId="0" fontId="4" fillId="7" borderId="8" xfId="0" applyNumberFormat="1" applyFont="1" applyFill="1" applyBorder="1" applyAlignment="1">
      <x:alignment horizontal="right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23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6" fillId="14" borderId="6" xfId="0" applyNumberFormat="1" applyFont="1" applyFill="1" applyBorder="1" applyAlignment="1">
      <x:alignment horizontal="right" vertical="center" wrapText="1"/>
    </x:xf>
    <x:xf numFmtId="0" fontId="6" fillId="14" xfId="0" applyNumberFormat="1" applyFont="1" applyFill="1" applyBorder="0" applyAlignment="1">
      <x:alignment horizontal="right" vertical="center" wrapText="1"/>
    </x:xf>
    <x:xf numFmtId="0" fontId="6" fillId="14" borderId="9" xfId="0" applyNumberFormat="1" applyFont="1" applyFill="1" applyBorder="1" applyAlignment="1">
      <x:alignment horizontal="right" vertical="center" wrapText="1"/>
    </x:xf>
    <x:xf numFmtId="0" fontId="17" fillId="14" borderId="6" xfId="0" applyNumberFormat="1" applyFont="1" applyFill="1" applyBorder="1" applyAlignment="1">
      <x:alignment horizontal="right" vertical="center" wrapText="1"/>
    </x:xf>
    <x:xf numFmtId="0" fontId="17" fillId="14" xfId="0" applyNumberFormat="1" applyFont="1" applyFill="1" applyBorder="0" applyAlignment="1">
      <x:alignment horizontal="right" vertical="center" wrapText="1"/>
    </x:xf>
    <x:xf numFmtId="0" fontId="17" fillId="14" borderId="9" xfId="0" applyNumberFormat="1" applyFont="1" applyFill="1" applyBorder="1" applyAlignment="1">
      <x:alignment horizontal="right" vertical="center" wrapText="1"/>
    </x:xf>
    <x:xf numFmtId="0" fontId="18" fillId="17" borderId="0" xfId="0" applyNumberFormat="1" applyFont="1" applyFill="1" applyBorder="1" applyAlignment="1">
      <x:alignment horizontal="right" vertical="center" wrapText="1"/>
    </x:xf>
    <x:xf numFmtId="0" fontId="18" fillId="17" borderId="25" xfId="0" applyNumberFormat="1" applyFont="1" applyFill="1" applyBorder="1" applyAlignment="1">
      <x:alignment horizontal="right" vertical="center" wrapText="1"/>
    </x:xf>
    <x:xf numFmtId="0" fontId="18" fillId="17" borderId="26" xfId="0" applyNumberFormat="1" applyFont="1" applyFill="1" applyBorder="1" applyAlignment="1">
      <x:alignment horizontal="right" vertical="center" wrapText="1"/>
    </x:xf>
    <x:xf numFmtId="0" fontId="18" fillId="17" borderId="27" xfId="0" applyNumberFormat="1" applyFont="1" applyFill="1" applyBorder="1" applyAlignment="1">
      <x:alignment horizontal="right" vertical="center" wrapText="1"/>
    </x:xf>
    <x:xf numFmtId="0" fontId="19" fillId="15" borderId="0" xfId="0" applyNumberFormat="1" applyFont="1" applyFill="1" applyBorder="1" applyAlignment="1">
      <x:alignment horizontal="right" vertical="center" wrapText="1"/>
    </x:xf>
    <x:xf numFmtId="0" fontId="19" fillId="15" borderId="25" xfId="0" applyNumberFormat="1" applyFont="1" applyFill="1" applyBorder="1" applyAlignment="1">
      <x:alignment horizontal="right" vertical="center" wrapText="1"/>
    </x:xf>
    <x:xf numFmtId="0" fontId="19" fillId="15" borderId="26" xfId="0" applyNumberFormat="1" applyFont="1" applyFill="1" applyBorder="1" applyAlignment="1">
      <x:alignment horizontal="right" vertical="center" wrapText="1"/>
    </x:xf>
    <x:xf numFmtId="0" fontId="19" fillId="15" borderId="27" xfId="0" applyNumberFormat="1" applyFont="1" applyFill="1" applyBorder="1" applyAlignment="1">
      <x:alignment horizontal="right" vertical="center" wrapText="1"/>
    </x:xf>
    <x:xf numFmtId="0" fontId="20" fillId="18" borderId="0" xfId="0" applyNumberFormat="1" applyFont="1" applyFill="1" applyBorder="1" applyAlignment="1">
      <x:alignment horizontal="right" vertical="center" wrapText="1"/>
    </x:xf>
    <x:xf numFmtId="0" fontId="20" fillId="18" borderId="25" xfId="0" applyNumberFormat="1" applyFont="1" applyFill="1" applyBorder="1" applyAlignment="1">
      <x:alignment horizontal="right" vertical="center" wrapText="1"/>
    </x:xf>
    <x:xf numFmtId="0" fontId="20" fillId="18" borderId="26" xfId="0" applyNumberFormat="1" applyFont="1" applyFill="1" applyBorder="1" applyAlignment="1">
      <x:alignment horizontal="right" vertical="center" wrapText="1"/>
    </x:xf>
    <x:xf numFmtId="0" fontId="20" fillId="18" borderId="27" xfId="0" applyNumberFormat="1" applyFont="1" applyFill="1" applyBorder="1" applyAlignment="1">
      <x:alignment horizontal="right" vertical="center" wrapText="1"/>
    </x:xf>
    <x:xf numFmtId="0" fontId="21" fillId="16" borderId="0" xfId="0" applyNumberFormat="1" applyFont="1" applyFill="1" applyBorder="1" applyAlignment="1">
      <x:alignment horizontal="right" vertical="center" wrapText="1"/>
    </x:xf>
    <x:xf numFmtId="0" fontId="21" fillId="16" borderId="25" xfId="0" applyNumberFormat="1" applyFont="1" applyFill="1" applyBorder="1" applyAlignment="1">
      <x:alignment horizontal="right" vertical="center" wrapText="1"/>
    </x:xf>
    <x:xf numFmtId="0" fontId="21" fillId="16" borderId="26" xfId="0" applyNumberFormat="1" applyFont="1" applyFill="1" applyBorder="1" applyAlignment="1">
      <x:alignment horizontal="right" vertical="center" wrapText="1"/>
    </x:xf>
    <x:xf numFmtId="0" fontId="21" fillId="16" borderId="27" xfId="0" applyNumberFormat="1" applyFont="1" applyFill="1" applyBorder="1" applyAlignment="1">
      <x:alignment horizontal="right" vertical="center" wrapText="1"/>
    </x:xf>
    <x:xf numFmtId="0" fontId="6" fillId="19" borderId="0" xfId="0" applyNumberFormat="1" applyFont="1" applyFill="1" applyBorder="1" applyAlignment="1">
      <x:alignment horizontal="right" vertical="center" wrapText="1"/>
    </x:xf>
    <x:xf numFmtId="0" fontId="22" fillId="19" borderId="0" xfId="0" applyNumberFormat="1" applyFont="1" applyFill="1" applyBorder="1" applyAlignment="1">
      <x:alignment horizontal="right" vertical="center" wrapText="1"/>
    </x:xf>
    <x:xf numFmtId="0" fontId="22" fillId="19" borderId="25" xfId="0" applyNumberFormat="1" applyFont="1" applyFill="1" applyBorder="1" applyAlignment="1">
      <x:alignment horizontal="right" vertical="center" wrapText="1"/>
    </x:xf>
    <x:xf numFmtId="0" fontId="22" fillId="19" borderId="26" xfId="0" applyNumberFormat="1" applyFont="1" applyFill="1" applyBorder="1" applyAlignment="1">
      <x:alignment horizontal="right" vertical="center" wrapText="1"/>
    </x:xf>
    <x:xf numFmtId="0" fontId="22" fillId="19" borderId="27" xfId="0" applyNumberFormat="1" applyFont="1" applyFill="1" applyBorder="1" applyAlignment="1">
      <x:alignment horizontal="right" vertical="center" wrapText="1"/>
    </x:xf>
    <x:xf numFmtId="0" fontId="23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right" vertical="center" wrapText="1"/>
    </x:xf>
    <x:xf numFmtId="0" fontId="23" fillId="2" borderId="5" xfId="0" applyNumberFormat="1" applyFont="1" applyFill="1" applyBorder="1" applyAlignment="1">
      <x:alignment horizontal="center" vertical="center" wrapText="1"/>
    </x:xf>
    <x:xf numFmtId="0" fontId="23" fillId="2" borderId="6" xfId="0" applyNumberFormat="1" applyFont="1" applyFill="1" applyBorder="1" applyAlignment="1">
      <x:alignment horizontal="center" vertical="center" wrapText="1"/>
    </x:xf>
    <x:xf numFmtId="0" fontId="23" fillId="2" borderId="7" xfId="0" applyNumberFormat="1" applyFont="1" applyFill="1" applyBorder="1" applyAlignment="1">
      <x:alignment horizontal="center" vertical="center" wrapText="1"/>
    </x:xf>
    <x:xf numFmtId="0" fontId="6" fillId="0" borderId="23" xfId="0" applyNumberFormat="1" applyFont="1" applyFill="1" applyBorder="1" applyAlignment="1">
      <x:alignment horizontal="right" vertical="center" wrapText="1"/>
    </x:xf>
    <x:xf numFmtId="0" fontId="6" fillId="0" xfId="0" applyNumberFormat="1" applyFont="1" applyFill="1" applyBorder="0" applyAlignment="1">
      <x:alignment horizontal="right" vertical="center" wrapText="1"/>
    </x:xf>
    <x:xf numFmtId="0" fontId="6" fillId="0" borderId="24" xfId="0" applyNumberFormat="1" applyFont="1" applyFill="1" applyBorder="1" applyAlignment="1">
      <x:alignment horizontal="right" vertical="center" wrapText="1"/>
    </x:xf>
    <x:xf numFmtId="0" fontId="6" fillId="0" borderId="8" xfId="0" applyNumberFormat="1" applyFont="1" applyFill="1" applyBorder="1" applyAlignment="1">
      <x:alignment horizontal="right" vertical="center" wrapText="1"/>
    </x:xf>
    <x:xf numFmtId="0" fontId="6" fillId="0" borderId="9" xfId="0" applyNumberFormat="1" applyFont="1" applyFill="1" applyBorder="1" applyAlignment="1">
      <x:alignment horizontal="right" vertical="center" wrapText="1"/>
    </x:xf>
    <x:xf numFmtId="0" fontId="6" fillId="0" borderId="10" xfId="0" applyNumberFormat="1" applyFont="1" applyFill="1" applyBorder="1" applyAlignment="1">
      <x:alignment horizontal="right" vertical="center" wrapText="1"/>
    </x:xf>
    <x:xf numFmtId="0" fontId="23" fillId="2" borderId="5" xfId="0" applyNumberFormat="1" applyFont="1" applyFill="1" applyBorder="1" applyAlignment="1">
      <x:alignment horizontal="right" vertical="center" wrapText="1"/>
    </x:xf>
    <x:xf numFmtId="0" fontId="23" fillId="2" borderId="6" xfId="0" applyNumberFormat="1" applyFont="1" applyFill="1" applyBorder="1" applyAlignment="1">
      <x:alignment horizontal="right" vertical="center" wrapText="1"/>
    </x:xf>
    <x:xf numFmtId="0" fontId="23" fillId="2" borderId="7" xfId="0" applyNumberFormat="1" applyFont="1" applyFill="1" applyBorder="1" applyAlignment="1">
      <x:alignment horizontal="right" vertical="center" wrapText="1"/>
    </x:xf>
    <x:xf numFmtId="0" fontId="23" fillId="6" borderId="5" xfId="0" applyNumberFormat="1" applyFont="1" applyFill="1" applyBorder="1" applyAlignment="1">
      <x:alignment horizontal="right" vertical="center" wrapText="1"/>
    </x:xf>
    <x:xf numFmtId="0" fontId="23" fillId="6" borderId="6" xfId="0" applyNumberFormat="1" applyFont="1" applyFill="1" applyBorder="1" applyAlignment="1">
      <x:alignment horizontal="right" vertical="center" wrapText="1"/>
    </x:xf>
    <x:xf numFmtId="0" fontId="23" fillId="6" borderId="7" xfId="0" applyNumberFormat="1" applyFont="1" applyFill="1" applyBorder="1" applyAlignment="1">
      <x:alignment horizontal="right" vertical="center" wrapText="1"/>
    </x:xf>
    <x:xf numFmtId="0" fontId="2" fillId="6" borderId="5" xfId="0" applyNumberFormat="1" applyFont="1" applyFill="1" applyBorder="1" applyAlignment="1">
      <x:alignment horizontal="right" vertical="center" wrapText="1"/>
    </x:xf>
    <x:xf numFmtId="0" fontId="2" fillId="6" borderId="6" xfId="0" applyNumberFormat="1" applyFont="1" applyFill="1" applyBorder="1" applyAlignment="1">
      <x:alignment horizontal="right" vertical="center" wrapText="1"/>
    </x:xf>
    <x:xf numFmtId="0" fontId="2" fillId="6" borderId="7" xfId="0" applyNumberFormat="1" applyFont="1" applyFill="1" applyBorder="1" applyAlignment="1">
      <x:alignment horizontal="right" vertical="center" wrapText="1"/>
    </x:xf>
    <x:xf numFmtId="0" fontId="2" fillId="6" borderId="28" xfId="0" applyNumberFormat="1" applyFont="1" applyFill="1" applyBorder="1" applyAlignment="1">
      <x:alignment horizontal="right" vertical="center" wrapText="1"/>
    </x:xf>
    <x:xf numFmtId="0" fontId="2" fillId="6" borderId="29" xfId="0" applyNumberFormat="1" applyFont="1" applyFill="1" applyBorder="1" applyAlignment="1">
      <x:alignment horizontal="right" vertical="center" wrapText="1"/>
    </x:xf>
    <x:xf numFmtId="0" fontId="2" fillId="6" borderId="30" xfId="0" applyNumberFormat="1" applyFont="1" applyFill="1" applyBorder="1" applyAlignment="1">
      <x:alignment horizontal="right" vertical="center" wrapText="1"/>
    </x:xf>
    <x:xf numFmtId="0" fontId="2" fillId="6" borderId="28" xfId="0" applyNumberFormat="1" applyFont="1" applyFill="1" applyBorder="1" applyAlignment="1">
      <x:alignment horizontal="center" vertical="center" wrapText="1"/>
    </x:xf>
    <x:xf numFmtId="0" fontId="2" fillId="6" borderId="29" xfId="0" applyNumberFormat="1" applyFont="1" applyFill="1" applyBorder="1" applyAlignment="1">
      <x:alignment horizontal="center" vertical="center" wrapText="1"/>
    </x:xf>
    <x:xf numFmtId="0" fontId="2" fillId="6" borderId="30" xfId="0" applyNumberFormat="1" applyFont="1" applyFill="1" applyBorder="1" applyAlignment="1">
      <x:alignment horizontal="center" vertical="center" wrapText="1"/>
    </x:xf>
    <x:xf numFmtId="0" fontId="6" fillId="20" borderId="23" xfId="0" applyNumberFormat="1" applyFont="1" applyFill="1" applyBorder="1" applyAlignment="1">
      <x:alignment horizontal="right" vertical="center" wrapText="1"/>
    </x:xf>
    <x:xf numFmtId="0" fontId="6" fillId="20" xfId="0" applyNumberFormat="1" applyFont="1" applyFill="1" applyBorder="0" applyAlignment="1">
      <x:alignment horizontal="right" vertical="center" wrapText="1"/>
    </x:xf>
    <x:xf numFmtId="0" fontId="6" fillId="20" borderId="24" xfId="0" applyNumberFormat="1" applyFont="1" applyFill="1" applyBorder="1" applyAlignment="1">
      <x:alignment horizontal="right" vertical="center" wrapText="1"/>
    </x:xf>
    <x:xf numFmtId="0" fontId="6" fillId="20" borderId="8" xfId="0" applyNumberFormat="1" applyFont="1" applyFill="1" applyBorder="1" applyAlignment="1">
      <x:alignment horizontal="right" vertical="center" wrapText="1"/>
    </x:xf>
    <x:xf numFmtId="0" fontId="6" fillId="20" borderId="9" xfId="0" applyNumberFormat="1" applyFont="1" applyFill="1" applyBorder="1" applyAlignment="1">
      <x:alignment horizontal="right" vertical="center" wrapText="1"/>
    </x:xf>
    <x:xf numFmtId="0" fontId="6" fillId="20" borderId="10" xfId="0" applyNumberFormat="1" applyFont="1" applyFill="1" applyBorder="1" applyAlignment="1">
      <x:alignment horizontal="right" vertical="center" wrapText="1"/>
    </x:xf>
    <x:xf numFmtId="0" fontId="24" fillId="20" borderId="23" xfId="0" applyNumberFormat="1" applyFont="1" applyFill="1" applyBorder="1" applyAlignment="1">
      <x:alignment horizontal="right" vertical="center" wrapText="1"/>
    </x:xf>
    <x:xf numFmtId="0" fontId="24" fillId="9" borderId="23" xfId="0" applyNumberFormat="1" applyFont="1" applyFill="1" applyBorder="1" applyAlignment="1">
      <x:alignment horizontal="right" vertical="center" wrapText="1"/>
    </x:xf>
    <x:xf numFmtId="0" fontId="24" fillId="20" borderId="8" xfId="0" applyNumberFormat="1" applyFont="1" applyFill="1" applyBorder="1" applyAlignment="1">
      <x:alignment horizontal="right" vertical="center" wrapText="1"/>
    </x:xf>
    <x:xf numFmtId="0" fontId="24" fillId="20" borderId="23" xfId="0" applyNumberFormat="1" applyFont="1" applyFill="1" applyBorder="1" applyAlignment="1">
      <x:alignment horizontal="center" vertical="center" wrapText="1"/>
    </x:xf>
    <x:xf numFmtId="0" fontId="24" fillId="9" borderId="23" xfId="0" applyNumberFormat="1" applyFont="1" applyFill="1" applyBorder="1" applyAlignment="1">
      <x:alignment horizontal="center" vertical="center" wrapText="1"/>
    </x:xf>
    <x:xf numFmtId="0" fontId="24" fillId="20" borderId="8" xfId="0" applyNumberFormat="1" applyFont="1" applyFill="1" applyBorder="1" applyAlignment="1">
      <x:alignment horizontal="center" vertical="center" wrapText="1"/>
    </x:xf>
    <x:xf numFmtId="0" fontId="6" fillId="20" xfId="0" applyNumberFormat="1" applyFont="1" applyFill="1" applyBorder="0" applyAlignment="1">
      <x:alignment horizontal="center" vertical="center" wrapText="1"/>
    </x:xf>
    <x:xf numFmtId="0" fontId="6" fillId="20" borderId="9" xfId="0" applyNumberFormat="1" applyFont="1" applyFill="1" applyBorder="1" applyAlignment="1">
      <x:alignment horizontal="center" vertical="center" wrapText="1"/>
    </x:xf>
    <x:xf numFmtId="0" fontId="6" fillId="21" xfId="0" applyNumberFormat="1" applyFont="1" applyFill="1" applyBorder="0" applyAlignment="1">
      <x:alignment horizontal="right" vertical="center" wrapText="1"/>
    </x:xf>
    <x:xf numFmtId="0" fontId="6" fillId="21" borderId="9" xfId="0" applyNumberFormat="1" applyFont="1" applyFill="1" applyBorder="1" applyAlignment="1">
      <x:alignment horizontal="right" vertical="center" wrapText="1"/>
    </x:xf>
    <x:xf numFmtId="0" fontId="6" fillId="19" xfId="0" applyNumberFormat="1" applyFont="1" applyFill="1" applyBorder="0" applyAlignment="1">
      <x:alignment horizontal="right" vertical="center" wrapText="1"/>
    </x:xf>
    <x:xf numFmtId="0" fontId="6" fillId="19" borderId="9" xfId="0" applyNumberFormat="1" applyFont="1" applyFill="1" applyBorder="1" applyAlignment="1">
      <x:alignment horizontal="right" vertical="center" wrapText="1"/>
    </x:xf>
    <x:xf numFmtId="0" fontId="25" fillId="19" xfId="0" applyNumberFormat="1" applyFont="1" applyFill="1" applyBorder="0" applyAlignment="1">
      <x:alignment horizontal="right" vertical="center" wrapText="1"/>
    </x:xf>
    <x:xf numFmtId="0" fontId="25" fillId="19" borderId="9" xfId="0" applyNumberFormat="1" applyFont="1" applyFill="1" applyBorder="1" applyAlignment="1">
      <x:alignment horizontal="right" vertical="center" wrapText="1"/>
    </x:xf>
    <x:xf numFmtId="0" fontId="25" fillId="19" xfId="0" applyNumberFormat="1" applyFont="1" applyFill="1" applyBorder="0" applyAlignment="1">
      <x:alignment horizontal="center" vertical="center" wrapText="1"/>
    </x:xf>
    <x:xf numFmtId="0" fontId="25" fillId="19" borderId="9" xfId="0" applyNumberFormat="1" applyFont="1" applyFill="1" applyBorder="1" applyAlignment="1">
      <x:alignment horizontal="center" vertical="center" wrapText="1"/>
    </x:xf>
    <x:xf numFmtId="205" fontId="25" fillId="19" xfId="0" applyNumberFormat="1" applyFont="1" applyFill="1" applyBorder="0" applyAlignment="1">
      <x:alignment horizontal="center" vertical="center" wrapText="1"/>
    </x:xf>
    <x:xf numFmtId="205" fontId="25" fillId="19" borderId="9" xfId="0" applyNumberFormat="1" applyFont="1" applyFill="1" applyBorder="1" applyAlignment="1">
      <x:alignment horizontal="center" vertical="center" wrapText="1"/>
    </x:xf>
    <x:xf numFmtId="0" fontId="6" fillId="22" borderId="24" xfId="0" applyNumberFormat="1" applyFont="1" applyFill="1" applyBorder="1" applyAlignment="1">
      <x:alignment horizontal="right" vertical="center" wrapText="1"/>
    </x:xf>
    <x:xf numFmtId="0" fontId="6" fillId="22" borderId="10" xfId="0" applyNumberFormat="1" applyFont="1" applyFill="1" applyBorder="1" applyAlignment="1">
      <x:alignment horizontal="right" vertical="center" wrapText="1"/>
    </x:xf>
    <x:xf numFmtId="0" fontId="16" fillId="6" borderId="5" xfId="0" applyNumberFormat="1" applyFont="1" applyFill="1" applyBorder="1" applyAlignment="1">
      <x:alignment horizontal="right" vertical="center" wrapText="1"/>
    </x:xf>
    <x:xf numFmtId="0" fontId="16" fillId="6" borderId="6" xfId="0" applyNumberFormat="1" applyFont="1" applyFill="1" applyBorder="1" applyAlignment="1">
      <x:alignment horizontal="right" vertical="center" wrapText="1"/>
    </x:xf>
    <x:xf numFmtId="0" fontId="16" fillId="6" borderId="7" xfId="0" applyNumberFormat="1" applyFont="1" applyFill="1" applyBorder="1" applyAlignment="1">
      <x:alignment horizontal="right" vertical="center" wrapText="1"/>
    </x:xf>
    <x:xf numFmtId="0" fontId="16" fillId="6" borderId="5" xfId="0" applyNumberFormat="1" applyFont="1" applyFill="1" applyBorder="1" applyAlignment="1">
      <x:alignment horizontal="center" vertical="center" wrapText="1"/>
    </x:xf>
    <x:xf numFmtId="0" fontId="16" fillId="6" borderId="6" xfId="0" applyNumberFormat="1" applyFont="1" applyFill="1" applyBorder="1" applyAlignment="1">
      <x:alignment horizontal="center" vertical="center" wrapText="1"/>
    </x:xf>
    <x:xf numFmtId="0" fontId="16" fillId="6" borderId="7" xfId="0" applyNumberFormat="1" applyFont="1" applyFill="1" applyBorder="1" applyAlignment="1">
      <x:alignment horizontal="center" vertical="center" wrapText="1"/>
    </x:xf>
    <x:xf numFmtId="0" fontId="26" fillId="19" xfId="0" applyNumberFormat="1" applyFont="1" applyFill="1" applyBorder="0" applyAlignment="1">
      <x:alignment horizontal="right" vertical="center" wrapText="1"/>
    </x:xf>
    <x:xf numFmtId="0" fontId="26" fillId="19" borderId="9" xfId="0" applyNumberFormat="1" applyFont="1" applyFill="1" applyBorder="1" applyAlignment="1">
      <x:alignment horizontal="right" vertical="center" wrapText="1"/>
    </x:xf>
    <x:xf numFmtId="0" fontId="26" fillId="19" borderId="31" xfId="0" applyNumberFormat="1" applyFont="1" applyFill="1" applyBorder="1" applyAlignment="1">
      <x:alignment horizontal="right" vertical="center" wrapText="1"/>
    </x:xf>
    <x:xf numFmtId="0" fontId="26" fillId="19" borderId="32" xfId="0" applyNumberFormat="1" applyFont="1" applyFill="1" applyBorder="1" applyAlignment="1">
      <x:alignment horizontal="right" vertical="center" wrapText="1"/>
    </x:xf>
    <x:xf numFmtId="0" fontId="26" fillId="19" borderId="33" xfId="0" applyNumberFormat="1" applyFont="1" applyFill="1" applyBorder="1" applyAlignment="1">
      <x:alignment horizontal="right" vertical="center" wrapText="1"/>
    </x:xf>
    <x:xf numFmtId="0" fontId="26" fillId="19" borderId="34" xfId="0" applyNumberFormat="1" applyFont="1" applyFill="1" applyBorder="1" applyAlignment="1">
      <x:alignment horizontal="right" vertical="center" wrapText="1"/>
    </x:xf>
    <x:xf numFmtId="0" fontId="26" fillId="19" borderId="35" xfId="0" applyNumberFormat="1" applyFont="1" applyFill="1" applyBorder="1" applyAlignment="1">
      <x:alignment horizontal="right" vertical="center" wrapText="1"/>
    </x:xf>
    <x:xf numFmtId="0" fontId="26" fillId="19" borderId="36" xfId="0" applyNumberFormat="1" applyFont="1" applyFill="1" applyBorder="1" applyAlignment="1">
      <x:alignment horizontal="right" vertical="center" wrapText="1"/>
    </x:xf>
    <x:xf numFmtId="0" fontId="26" fillId="19" borderId="37" xfId="0" applyNumberFormat="1" applyFont="1" applyFill="1" applyBorder="1" applyAlignment="1">
      <x:alignment horizontal="right" vertical="center" wrapText="1"/>
    </x:xf>
    <x:xf numFmtId="0" fontId="26" fillId="19" borderId="38" xfId="0" applyNumberFormat="1" applyFont="1" applyFill="1" applyBorder="1" applyAlignment="1">
      <x:alignment horizontal="right" vertical="center" wrapText="1"/>
    </x:xf>
    <x:xf numFmtId="0" fontId="26" fillId="19" borderId="31" xfId="0" applyNumberFormat="1" applyFont="1" applyFill="1" applyBorder="1" applyAlignment="1">
      <x:alignment horizontal="center" vertical="center" wrapText="1"/>
    </x:xf>
    <x:xf numFmtId="0" fontId="26" fillId="19" borderId="32" xfId="0" applyNumberFormat="1" applyFont="1" applyFill="1" applyBorder="1" applyAlignment="1">
      <x:alignment horizontal="center" vertical="center" wrapText="1"/>
    </x:xf>
    <x:xf numFmtId="0" fontId="26" fillId="19" borderId="33" xfId="0" applyNumberFormat="1" applyFont="1" applyFill="1" applyBorder="1" applyAlignment="1">
      <x:alignment horizontal="center" vertical="center" wrapText="1"/>
    </x:xf>
    <x:xf numFmtId="0" fontId="26" fillId="19" borderId="34" xfId="0" applyNumberFormat="1" applyFont="1" applyFill="1" applyBorder="1" applyAlignment="1">
      <x:alignment horizontal="center" vertical="center" wrapText="1"/>
    </x:xf>
    <x:xf numFmtId="0" fontId="26" fillId="19" xfId="0" applyNumberFormat="1" applyFont="1" applyFill="1" applyBorder="0" applyAlignment="1">
      <x:alignment horizontal="center" vertical="center" wrapText="1"/>
    </x:xf>
    <x:xf numFmtId="0" fontId="26" fillId="19" borderId="35" xfId="0" applyNumberFormat="1" applyFont="1" applyFill="1" applyBorder="1" applyAlignment="1">
      <x:alignment horizontal="center" vertical="center" wrapText="1"/>
    </x:xf>
    <x:xf numFmtId="0" fontId="26" fillId="19" borderId="36" xfId="0" applyNumberFormat="1" applyFont="1" applyFill="1" applyBorder="1" applyAlignment="1">
      <x:alignment horizontal="center" vertical="center" wrapText="1"/>
    </x:xf>
    <x:xf numFmtId="0" fontId="26" fillId="19" borderId="37" xfId="0" applyNumberFormat="1" applyFont="1" applyFill="1" applyBorder="1" applyAlignment="1">
      <x:alignment horizontal="center" vertical="center" wrapText="1"/>
    </x:xf>
    <x:xf numFmtId="0" fontId="26" fillId="19" borderId="38" xfId="0" applyNumberFormat="1" applyFont="1" applyFill="1" applyBorder="1" applyAlignment="1">
      <x:alignment horizontal="center" vertical="center" wrapText="1"/>
    </x:xf>
    <x:xf numFmtId="0" fontId="27" fillId="14" xfId="0" applyNumberFormat="1" applyFont="1" applyFill="1" applyBorder="0" applyAlignment="1">
      <x:alignment horizontal="right" vertical="center" wrapText="1"/>
    </x:xf>
    <x:xf numFmtId="0" fontId="27" fillId="14" borderId="9" xfId="0" applyNumberFormat="1" applyFont="1" applyFill="1" applyBorder="1" applyAlignment="1">
      <x:alignment horizontal="right" vertical="center" wrapText="1"/>
    </x:xf>
    <x:xf numFmtId="0" fontId="27" fillId="14" borderId="39" xfId="0" applyNumberFormat="1" applyFont="1" applyFill="1" applyBorder="1" applyAlignment="1">
      <x:alignment horizontal="right" vertical="center" wrapText="1"/>
    </x:xf>
    <x:xf numFmtId="0" fontId="27" fillId="14" borderId="40" xfId="0" applyNumberFormat="1" applyFont="1" applyFill="1" applyBorder="1" applyAlignment="1">
      <x:alignment horizontal="right" vertical="center" wrapText="1"/>
    </x:xf>
    <x:xf numFmtId="0" fontId="27" fillId="14" borderId="41" xfId="0" applyNumberFormat="1" applyFont="1" applyFill="1" applyBorder="1" applyAlignment="1">
      <x:alignment horizontal="right" vertical="center" wrapText="1"/>
    </x:xf>
    <x:xf numFmtId="0" fontId="27" fillId="14" borderId="42" xfId="0" applyNumberFormat="1" applyFont="1" applyFill="1" applyBorder="1" applyAlignment="1">
      <x:alignment horizontal="right" vertical="center" wrapText="1"/>
    </x:xf>
    <x:xf numFmtId="0" fontId="27" fillId="14" borderId="43" xfId="0" applyNumberFormat="1" applyFont="1" applyFill="1" applyBorder="1" applyAlignment="1">
      <x:alignment horizontal="right" vertical="center" wrapText="1"/>
    </x:xf>
    <x:xf numFmtId="0" fontId="27" fillId="14" borderId="44" xfId="0" applyNumberFormat="1" applyFont="1" applyFill="1" applyBorder="1" applyAlignment="1">
      <x:alignment horizontal="right" vertical="center" wrapText="1"/>
    </x:xf>
    <x:xf numFmtId="0" fontId="27" fillId="14" borderId="45" xfId="0" applyNumberFormat="1" applyFont="1" applyFill="1" applyBorder="1" applyAlignment="1">
      <x:alignment horizontal="right" vertical="center" wrapText="1"/>
    </x:xf>
    <x:xf numFmtId="0" fontId="27" fillId="14" borderId="46" xfId="0" applyNumberFormat="1" applyFont="1" applyFill="1" applyBorder="1" applyAlignment="1">
      <x:alignment horizontal="right" vertical="center" wrapText="1"/>
    </x:xf>
    <x:xf numFmtId="0" fontId="27" fillId="14" borderId="39" xfId="0" applyNumberFormat="1" applyFont="1" applyFill="1" applyBorder="1" applyAlignment="1">
      <x:alignment horizontal="center" vertical="center" wrapText="1"/>
    </x:xf>
    <x:xf numFmtId="0" fontId="27" fillId="14" borderId="40" xfId="0" applyNumberFormat="1" applyFont="1" applyFill="1" applyBorder="1" applyAlignment="1">
      <x:alignment horizontal="center" vertical="center" wrapText="1"/>
    </x:xf>
    <x:xf numFmtId="0" fontId="27" fillId="14" borderId="41" xfId="0" applyNumberFormat="1" applyFont="1" applyFill="1" applyBorder="1" applyAlignment="1">
      <x:alignment horizontal="center" vertical="center" wrapText="1"/>
    </x:xf>
    <x:xf numFmtId="0" fontId="27" fillId="14" borderId="42" xfId="0" applyNumberFormat="1" applyFont="1" applyFill="1" applyBorder="1" applyAlignment="1">
      <x:alignment horizontal="center" vertical="center" wrapText="1"/>
    </x:xf>
    <x:xf numFmtId="0" fontId="27" fillId="14" xfId="0" applyNumberFormat="1" applyFont="1" applyFill="1" applyBorder="0" applyAlignment="1">
      <x:alignment horizontal="center" vertical="center" wrapText="1"/>
    </x:xf>
    <x:xf numFmtId="0" fontId="27" fillId="14" borderId="43" xfId="0" applyNumberFormat="1" applyFont="1" applyFill="1" applyBorder="1" applyAlignment="1">
      <x:alignment horizontal="center" vertical="center" wrapText="1"/>
    </x:xf>
    <x:xf numFmtId="0" fontId="27" fillId="14" borderId="44" xfId="0" applyNumberFormat="1" applyFont="1" applyFill="1" applyBorder="1" applyAlignment="1">
      <x:alignment horizontal="center" vertical="center" wrapText="1"/>
    </x:xf>
    <x:xf numFmtId="0" fontId="27" fillId="14" borderId="45" xfId="0" applyNumberFormat="1" applyFont="1" applyFill="1" applyBorder="1" applyAlignment="1">
      <x:alignment horizontal="center" vertical="center" wrapText="1"/>
    </x:xf>
    <x:xf numFmtId="0" fontId="27" fillId="14" borderId="46" xfId="0" applyNumberFormat="1" applyFont="1" applyFill="1" applyBorder="1" applyAlignment="1">
      <x:alignment horizontal="center" vertical="center" wrapText="1"/>
    </x:xf>
    <x:xf numFmtId="0" fontId="6" fillId="15" borderId="24" xfId="0" applyNumberFormat="1" applyFont="1" applyFill="1" applyBorder="1" applyAlignment="1">
      <x:alignment horizontal="right" vertical="center" wrapText="1"/>
    </x:xf>
    <x:xf numFmtId="0" fontId="6" fillId="15" borderId="10" xfId="0" applyNumberFormat="1" applyFont="1" applyFill="1" applyBorder="1" applyAlignment="1">
      <x:alignment horizontal="right" vertical="center" wrapText="1"/>
    </x:xf>
    <x:xf numFmtId="205" fontId="6" fillId="20" xfId="0" applyNumberFormat="1" applyFont="1" applyFill="1" applyBorder="0" applyAlignment="1">
      <x:alignment horizontal="right" vertical="center" wrapText="1"/>
    </x:xf>
    <x:xf numFmtId="205" fontId="6" fillId="9" xfId="0" applyNumberFormat="1" applyFont="1" applyFill="1" applyBorder="0" applyAlignment="1">
      <x:alignment horizontal="right" vertical="center" wrapText="1"/>
    </x:xf>
    <x:xf numFmtId="205" fontId="6" fillId="9" borderId="9" xfId="0" applyNumberFormat="1" applyFont="1" applyFill="1" applyBorder="1" applyAlignment="1">
      <x:alignment horizontal="right" vertical="center" wrapText="1"/>
    </x:xf>
    <x:xf numFmtId="206" fontId="6" fillId="20" xfId="0" applyNumberFormat="1" applyFont="1" applyFill="1" applyBorder="0" applyAlignment="1">
      <x:alignment horizontal="right" vertical="center" wrapText="1"/>
    </x:xf>
    <x:xf numFmtId="206" fontId="6" fillId="9" xfId="0" applyNumberFormat="1" applyFont="1" applyFill="1" applyBorder="0" applyAlignment="1">
      <x:alignment horizontal="right" vertical="center" wrapText="1"/>
    </x:xf>
    <x:xf numFmtId="206" fontId="6" fillId="9" borderId="9" xfId="0" applyNumberFormat="1" applyFont="1" applyFill="1" applyBorder="1" applyAlignment="1">
      <x:alignment horizontal="right" vertical="center" wrapText="1"/>
    </x:xf>
    <x:xf numFmtId="205" fontId="26" fillId="19" borderId="32" xfId="0" applyNumberFormat="1" applyFont="1" applyFill="1" applyBorder="1" applyAlignment="1">
      <x:alignment horizontal="center" vertical="center" wrapText="1"/>
    </x:xf>
    <x:xf numFmtId="205" fontId="26" fillId="19" xfId="0" applyNumberFormat="1" applyFont="1" applyFill="1" applyBorder="0" applyAlignment="1">
      <x:alignment horizontal="center" vertical="center" wrapText="1"/>
    </x:xf>
    <x:xf numFmtId="205" fontId="26" fillId="19" borderId="37" xfId="0" applyNumberFormat="1" applyFont="1" applyFill="1" applyBorder="1" applyAlignment="1">
      <x:alignment horizontal="center" vertical="center" wrapText="1"/>
    </x:xf>
    <x:xf numFmtId="205" fontId="27" fillId="14" borderId="40" xfId="0" applyNumberFormat="1" applyFont="1" applyFill="1" applyBorder="1" applyAlignment="1">
      <x:alignment horizontal="center" vertical="center" wrapText="1"/>
    </x:xf>
    <x:xf numFmtId="205" fontId="27" fillId="14" xfId="0" applyNumberFormat="1" applyFont="1" applyFill="1" applyBorder="0" applyAlignment="1">
      <x:alignment horizontal="center" vertical="center" wrapText="1"/>
    </x:xf>
    <x:xf numFmtId="205" fontId="27" fillId="14" borderId="4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3" fillId="3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23" fillId="2" borderId="23" xfId="0" applyNumberFormat="1" applyFont="1" applyFill="1" applyBorder="1" applyAlignment="1">
      <x:alignment horizontal="center" vertical="center" wrapText="1"/>
    </x:xf>
    <x:xf numFmtId="0" fontId="23" fillId="2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/>
    <x:xf numFmtId="0" fontId="6" fillId="0" borderId="24" xfId="0" applyNumberFormat="1" applyFont="1" applyFill="1" applyBorder="1"/>
    <x:xf numFmtId="0" fontId="6" fillId="0" borderId="23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23" fillId="3" borderId="23" xfId="0" applyNumberFormat="1" applyFont="1" applyFill="1" applyBorder="1" applyAlignment="1">
      <x:alignment horizontal="center" vertical="center" wrapText="1"/>
    </x:xf>
    <x:xf numFmtId="0" fontId="23" fillId="3" xfId="0" applyNumberFormat="1" applyFont="1" applyFill="1" applyBorder="0" applyAlignment="1">
      <x:alignment horizontal="center" vertical="center" wrapText="1"/>
    </x:xf>
    <x:xf numFmtId="0" fontId="23" fillId="2" borderId="24" xfId="0" applyNumberFormat="1" applyFont="1" applyFill="1" applyBorder="1" applyAlignment="1">
      <x:alignment horizontal="center" vertical="center" wrapText="1"/>
    </x:xf>
    <x:xf numFmtId="200" fontId="6" fillId="0" xfId="0" applyNumberFormat="1" applyFont="1" applyFill="1" applyBorder="0" applyAlignment="1">
      <x:alignment wrapText="1"/>
    </x:xf>
    <x:xf numFmtId="0" fontId="6" fillId="0" borderId="23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horizontal="right" wrapText="1"/>
    </x:xf>
    <x:xf numFmtId="0" fontId="6" fillId="0" borderId="7" xfId="0" applyNumberFormat="1" applyFont="1" applyFill="1" applyBorder="1" applyAlignment="1">
      <x:alignment horizontal="right" wrapText="1"/>
    </x:xf>
    <x:xf numFmtId="0" fontId="23" fillId="2" borderId="23" xfId="0" applyNumberFormat="1" applyFont="1" applyFill="1" applyBorder="1" applyAlignment="1">
      <x:alignment horizontal="right" vertical="center" wrapText="1"/>
    </x:xf>
    <x:xf numFmtId="0" fontId="23" fillId="2" xfId="0" applyNumberFormat="1" applyFont="1" applyFill="1" applyBorder="0" applyAlignment="1">
      <x:alignment horizontal="right" vertical="center" wrapText="1"/>
    </x:xf>
    <x:xf numFmtId="0" fontId="6" fillId="0" xfId="0" applyNumberFormat="1" applyFont="1" applyFill="1" applyBorder="0" applyAlignment="1">
      <x:alignment horizontal="right" wrapText="1"/>
    </x:xf>
    <x:xf numFmtId="0" fontId="6" fillId="0" borderId="24" xfId="0" applyNumberFormat="1" applyFont="1" applyFill="1" applyBorder="1" applyAlignment="1">
      <x:alignment horizontal="right" wrapText="1"/>
    </x:xf>
    <x:xf numFmtId="0" fontId="6" fillId="0" borderId="23" xfId="0" applyNumberFormat="1" applyFont="1" applyFill="1" applyBorder="1" applyAlignment="1">
      <x:alignment horizontal="right" wrapText="1"/>
    </x:xf>
    <x:xf numFmtId="0" fontId="23" fillId="3" borderId="23" xfId="0" applyNumberFormat="1" applyFont="1" applyFill="1" applyBorder="1" applyAlignment="1">
      <x:alignment horizontal="right" vertical="center" wrapText="1"/>
    </x:xf>
    <x:xf numFmtId="0" fontId="23" fillId="3" xfId="0" applyNumberFormat="1" applyFont="1" applyFill="1" applyBorder="0" applyAlignment="1">
      <x:alignment horizontal="right" vertical="center" wrapText="1"/>
    </x:xf>
    <x:xf numFmtId="0" fontId="23" fillId="2" borderId="24" xfId="0" applyNumberFormat="1" applyFont="1" applyFill="1" applyBorder="1" applyAlignment="1">
      <x:alignment horizontal="right" vertical="center" wrapText="1"/>
    </x:xf>
    <x:xf numFmtId="200" fontId="6" fillId="0" xfId="0" applyNumberFormat="1" applyFont="1" applyFill="1" applyBorder="0" applyAlignment="1">
      <x:alignment horizontal="right" wrapText="1"/>
    </x:xf>
    <x:xf numFmtId="0" fontId="6" fillId="0" borderId="8" xfId="0" applyNumberFormat="1" applyFont="1" applyFill="1" applyBorder="1" applyAlignment="1">
      <x:alignment horizontal="right" wrapText="1"/>
    </x:xf>
    <x:xf numFmtId="0" fontId="6" fillId="0" borderId="9" xfId="0" applyNumberFormat="1" applyFont="1" applyFill="1" applyBorder="1" applyAlignment="1">
      <x:alignment horizontal="right" wrapText="1"/>
    </x:xf>
    <x:xf numFmtId="0" fontId="6" fillId="0" borderId="10" xfId="0" applyNumberFormat="1" applyFont="1" applyFill="1" applyBorder="1" applyAlignment="1">
      <x:alignment horizontal="right" wrapText="1"/>
    </x:xf>
    <x:xf numFmtId="0" fontId="6" fillId="0" borderId="6" xfId="0" applyNumberFormat="1" applyFont="1" applyFill="1" applyBorder="1" applyAlignment="1">
      <x:alignment horizontal="right" vertical="center" wrapText="1"/>
    </x:xf>
    <x:xf numFmtId="0" fontId="6" fillId="0" borderId="7" xfId="0" applyNumberFormat="1" applyFont="1" applyFill="1" applyBorder="1" applyAlignment="1">
      <x:alignment horizontal="right" vertical="center" wrapText="1"/>
    </x:xf>
    <x:xf numFmtId="200" fontId="6" fillId="0" xfId="0" applyNumberFormat="1" applyFont="1" applyFill="1" applyBorder="0" applyAlignment="1">
      <x:alignment horizontal="right" vertical="center" wrapText="1"/>
    </x:xf>
    <x:xf numFmtId="0" fontId="6" fillId="6" borderId="6" xfId="0" applyNumberFormat="1" applyFont="1" applyFill="1" applyBorder="1" applyAlignment="1">
      <x:alignment horizontal="right" vertical="center" wrapText="1"/>
    </x:xf>
    <x:xf numFmtId="0" fontId="6" fillId="6" borderId="7" xfId="0" applyNumberFormat="1" applyFont="1" applyFill="1" applyBorder="1" applyAlignment="1">
      <x:alignment horizontal="right" vertical="center" wrapText="1"/>
    </x:xf>
    <x:xf numFmtId="0" fontId="23" fillId="6" borderId="23" xfId="0" applyNumberFormat="1" applyFont="1" applyFill="1" applyBorder="1" applyAlignment="1">
      <x:alignment horizontal="right" vertical="center" wrapText="1"/>
    </x:xf>
    <x:xf numFmtId="0" fontId="23" fillId="6" xfId="0" applyNumberFormat="1" applyFont="1" applyFill="1" applyBorder="0" applyAlignment="1">
      <x:alignment horizontal="right" vertical="center" wrapText="1"/>
    </x:xf>
    <x:xf numFmtId="0" fontId="6" fillId="6" xfId="0" applyNumberFormat="1" applyFont="1" applyFill="1" applyBorder="0" applyAlignment="1">
      <x:alignment horizontal="right" vertical="center" wrapText="1"/>
    </x:xf>
    <x:xf numFmtId="0" fontId="6" fillId="6" borderId="24" xfId="0" applyNumberFormat="1" applyFont="1" applyFill="1" applyBorder="1" applyAlignment="1">
      <x:alignment horizontal="right" vertical="center" wrapText="1"/>
    </x:xf>
    <x:xf numFmtId="0" fontId="1" fillId="6" borderId="5" xfId="0" applyNumberFormat="1" applyFont="1" applyFill="1" applyBorder="1" applyAlignment="1">
      <x:alignment horizontal="right" vertical="center" wrapText="1"/>
    </x:xf>
    <x:xf numFmtId="0" fontId="1" fillId="6" borderId="6" xfId="0" applyNumberFormat="1" applyFont="1" applyFill="1" applyBorder="1" applyAlignment="1">
      <x:alignment horizontal="right" vertical="center" wrapText="1"/>
    </x:xf>
    <x:xf numFmtId="0" fontId="1" fillId="6" borderId="7" xfId="0" applyNumberFormat="1" applyFont="1" applyFill="1" applyBorder="1" applyAlignment="1">
      <x:alignment horizontal="right" vertical="center" wrapText="1"/>
    </x:xf>
    <x:xf numFmtId="0" fontId="1" fillId="6" borderId="23" xfId="0" applyNumberFormat="1" applyFont="1" applyFill="1" applyBorder="1" applyAlignment="1">
      <x:alignment horizontal="right" vertical="center" wrapText="1"/>
    </x:xf>
    <x:xf numFmtId="0" fontId="1" fillId="6" xfId="0" applyNumberFormat="1" applyFont="1" applyFill="1" applyBorder="0" applyAlignment="1">
      <x:alignment horizontal="right" vertical="center" wrapText="1"/>
    </x:xf>
    <x:xf numFmtId="0" fontId="1" fillId="6" borderId="24" xfId="0" applyNumberFormat="1" applyFont="1" applyFill="1" applyBorder="1" applyAlignment="1">
      <x:alignment horizontal="right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horizontal="center" vertical="center" wrapText="1"/>
    </x:xf>
    <x:xf numFmtId="0" fontId="1" fillId="6" borderId="23" xfId="0" applyNumberFormat="1" applyFont="1" applyFill="1" applyBorder="1" applyAlignment="1">
      <x:alignment horizontal="center" vertical="center" wrapText="1"/>
    </x:xf>
    <x:xf numFmtId="0" fontId="1" fillId="6" xfId="0" applyNumberFormat="1" applyFont="1" applyFill="1" applyBorder="0" applyAlignment="1">
      <x:alignment horizontal="center" vertical="center" wrapText="1"/>
    </x:xf>
    <x:xf numFmtId="0" fontId="1" fillId="6" borderId="24" xfId="0" applyNumberFormat="1" applyFont="1" applyFill="1" applyBorder="1" applyAlignment="1">
      <x:alignment horizontal="center" vertical="center" wrapText="1"/>
    </x:xf>
    <x:xf numFmtId="0" fontId="23" fillId="6" borderId="24" xfId="0" applyNumberFormat="1" applyFont="1" applyFill="1" applyBorder="1" applyAlignment="1">
      <x:alignment horizontal="right" vertical="center" wrapText="1"/>
    </x:xf>
    <x:xf numFmtId="0" fontId="16" fillId="6" borderId="23" xfId="0" applyNumberFormat="1" applyFont="1" applyFill="1" applyBorder="1" applyAlignment="1">
      <x:alignment horizontal="right" vertical="center" wrapText="1"/>
    </x:xf>
    <x:xf numFmtId="0" fontId="16" fillId="6" xfId="0" applyNumberFormat="1" applyFont="1" applyFill="1" applyBorder="0" applyAlignment="1">
      <x:alignment horizontal="right" vertical="center" wrapText="1"/>
    </x:xf>
    <x:xf numFmtId="0" fontId="16" fillId="6" borderId="24" xfId="0" applyNumberFormat="1" applyFont="1" applyFill="1" applyBorder="1" applyAlignment="1">
      <x:alignment horizontal="right" vertical="center" wrapText="1"/>
    </x:xf>
    <x:xf numFmtId="0" fontId="16" fillId="6" borderId="23" xfId="0" applyNumberFormat="1" applyFont="1" applyFill="1" applyBorder="1" applyAlignment="1">
      <x:alignment horizontal="center" vertical="center" wrapText="1"/>
    </x:xf>
    <x:xf numFmtId="0" fontId="16" fillId="6" xfId="0" applyNumberFormat="1" applyFont="1" applyFill="1" applyBorder="0" applyAlignment="1">
      <x:alignment horizontal="center" vertical="center" wrapText="1"/>
    </x:xf>
    <x:xf numFmtId="0" fontId="16" fillId="6" borderId="24" xfId="0" applyNumberFormat="1" applyFont="1" applyFill="1" applyBorder="1" applyAlignment="1">
      <x:alignment horizontal="center" vertical="center" wrapText="1"/>
    </x:xf>
    <x:xf numFmtId="0" fontId="23" fillId="10" borderId="23" xfId="0" applyNumberFormat="1" applyFont="1" applyFill="1" applyBorder="1" applyAlignment="1">
      <x:alignment horizontal="right" vertical="center" wrapText="1"/>
    </x:xf>
    <x:xf numFmtId="0" fontId="23" fillId="10" xfId="0" applyNumberFormat="1" applyFont="1" applyFill="1" applyBorder="0" applyAlignment="1">
      <x:alignment horizontal="right" vertical="center" wrapText="1"/>
    </x:xf>
    <x:xf numFmtId="0" fontId="6" fillId="10" xfId="0" applyNumberFormat="1" applyFont="1" applyFill="1" applyBorder="0" applyAlignment="1">
      <x:alignment horizontal="right" vertical="center" wrapText="1"/>
    </x:xf>
    <x:xf numFmtId="0" fontId="6" fillId="10" borderId="24" xfId="0" applyNumberFormat="1" applyFont="1" applyFill="1" applyBorder="1" applyAlignment="1">
      <x:alignment horizontal="right" vertical="center" wrapText="1"/>
    </x:xf>
    <x:xf numFmtId="0" fontId="4" fillId="10" borderId="23" xfId="0" applyNumberFormat="1" applyFont="1" applyFill="1" applyBorder="1" applyAlignment="1">
      <x:alignment horizontal="right" vertical="center" wrapText="1"/>
    </x:xf>
    <x:xf numFmtId="0" fontId="4" fillId="10" xfId="0" applyNumberFormat="1" applyFont="1" applyFill="1" applyBorder="0" applyAlignment="1">
      <x:alignment horizontal="right" vertical="center" wrapText="1"/>
    </x:xf>
    <x:xf numFmtId="0" fontId="4" fillId="10" borderId="24" xfId="0" applyNumberFormat="1" applyFont="1" applyFill="1" applyBorder="1" applyAlignment="1">
      <x:alignment horizontal="right" vertical="center" wrapText="1"/>
    </x:xf>
    <x:xf numFmtId="0" fontId="4" fillId="10" borderId="23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24" xfId="0" applyNumberFormat="1" applyFont="1" applyFill="1" applyBorder="1" applyAlignment="1">
      <x:alignment horizontal="center" vertical="center" wrapText="1"/>
    </x:xf>
    <x:xf numFmtId="0" fontId="23" fillId="11" borderId="23" xfId="0" applyNumberFormat="1" applyFont="1" applyFill="1" applyBorder="1" applyAlignment="1">
      <x:alignment horizontal="right" vertical="center" wrapText="1"/>
    </x:xf>
    <x:xf numFmtId="0" fontId="23" fillId="11" xfId="0" applyNumberFormat="1" applyFont="1" applyFill="1" applyBorder="0" applyAlignment="1">
      <x:alignment horizontal="right" vertical="center" wrapText="1"/>
    </x:xf>
    <x:xf numFmtId="0" fontId="6" fillId="11" xfId="0" applyNumberFormat="1" applyFont="1" applyFill="1" applyBorder="0" applyAlignment="1">
      <x:alignment horizontal="right" vertical="center" wrapText="1"/>
    </x:xf>
    <x:xf numFmtId="0" fontId="6" fillId="11" borderId="24" xfId="0" applyNumberFormat="1" applyFont="1" applyFill="1" applyBorder="1" applyAlignment="1">
      <x:alignment horizontal="right" vertical="center" wrapText="1"/>
    </x:xf>
    <x:xf numFmtId="0" fontId="4" fillId="11" borderId="23" xfId="0" applyNumberFormat="1" applyFont="1" applyFill="1" applyBorder="1" applyAlignment="1">
      <x:alignment horizontal="right" vertical="center" wrapText="1"/>
    </x:xf>
    <x:xf numFmtId="0" fontId="4" fillId="11" xfId="0" applyNumberFormat="1" applyFont="1" applyFill="1" applyBorder="0" applyAlignment="1">
      <x:alignment horizontal="right" vertical="center" wrapText="1"/>
    </x:xf>
    <x:xf numFmtId="0" fontId="4" fillId="11" borderId="24" xfId="0" applyNumberFormat="1" applyFont="1" applyFill="1" applyBorder="1" applyAlignment="1">
      <x:alignment horizontal="right" vertical="center" wrapText="1"/>
    </x:xf>
    <x:xf numFmtId="0" fontId="4" fillId="11" borderId="23" xfId="0" applyNumberFormat="1" applyFont="1" applyFill="1" applyBorder="1" applyAlignment="1">
      <x:alignment horizontal="center" vertical="center" wrapText="1"/>
    </x:xf>
    <x:xf numFmtId="0" fontId="4" fillId="11" xfId="0" applyNumberFormat="1" applyFont="1" applyFill="1" applyBorder="0" applyAlignment="1">
      <x:alignment horizontal="center" vertical="center" wrapText="1"/>
    </x:xf>
    <x:xf numFmtId="0" fontId="4" fillId="11" borderId="24" xfId="0" applyNumberFormat="1" applyFont="1" applyFill="1" applyBorder="1" applyAlignment="1">
      <x:alignment horizontal="center" vertical="center" wrapText="1"/>
    </x:xf>
    <x:xf numFmtId="0" fontId="23" fillId="8" borderId="23" xfId="0" applyNumberFormat="1" applyFont="1" applyFill="1" applyBorder="1" applyAlignment="1">
      <x:alignment horizontal="right" vertical="center" wrapText="1"/>
    </x:xf>
    <x:xf numFmtId="0" fontId="23" fillId="8" xfId="0" applyNumberFormat="1" applyFont="1" applyFill="1" applyBorder="0" applyAlignment="1">
      <x:alignment horizontal="right" vertical="center" wrapText="1"/>
    </x:xf>
    <x:xf numFmtId="0" fontId="6" fillId="8" xfId="0" applyNumberFormat="1" applyFont="1" applyFill="1" applyBorder="0" applyAlignment="1">
      <x:alignment horizontal="right" vertical="center" wrapText="1"/>
    </x:xf>
    <x:xf numFmtId="0" fontId="6" fillId="8" borderId="24" xfId="0" applyNumberFormat="1" applyFont="1" applyFill="1" applyBorder="1" applyAlignment="1">
      <x:alignment horizontal="right" vertical="center" wrapText="1"/>
    </x:xf>
    <x:xf numFmtId="0" fontId="4" fillId="8" borderId="23" xfId="0" applyNumberFormat="1" applyFont="1" applyFill="1" applyBorder="1" applyAlignment="1">
      <x:alignment horizontal="right" vertical="center" wrapText="1"/>
    </x:xf>
    <x:xf numFmtId="0" fontId="4" fillId="8" xfId="0" applyNumberFormat="1" applyFont="1" applyFill="1" applyBorder="0" applyAlignment="1">
      <x:alignment horizontal="right" vertical="center" wrapText="1"/>
    </x:xf>
    <x:xf numFmtId="0" fontId="4" fillId="8" borderId="24" xfId="0" applyNumberFormat="1" applyFont="1" applyFill="1" applyBorder="1" applyAlignment="1">
      <x:alignment horizontal="right" vertical="center" wrapText="1"/>
    </x:xf>
    <x:xf numFmtId="0" fontId="4" fillId="8" borderId="23" xfId="0" applyNumberFormat="1" applyFont="1" applyFill="1" applyBorder="1" applyAlignment="1">
      <x:alignment horizontal="center" vertical="center" wrapText="1"/>
    </x:xf>
    <x:xf numFmtId="0" fontId="4" fillId="8" xfId="0" applyNumberFormat="1" applyFont="1" applyFill="1" applyBorder="0" applyAlignment="1">
      <x:alignment horizontal="center" vertical="center" wrapText="1"/>
    </x:xf>
    <x:xf numFmtId="0" fontId="4" fillId="8" borderId="24" xfId="0" applyNumberFormat="1" applyFont="1" applyFill="1" applyBorder="1" applyAlignment="1">
      <x:alignment horizontal="center" vertical="center" wrapText="1"/>
    </x:xf>
    <x:xf numFmtId="0" fontId="23" fillId="12" borderId="23" xfId="0" applyNumberFormat="1" applyFont="1" applyFill="1" applyBorder="1" applyAlignment="1">
      <x:alignment horizontal="right" vertical="center" wrapText="1"/>
    </x:xf>
    <x:xf numFmtId="0" fontId="23" fillId="12" xfId="0" applyNumberFormat="1" applyFont="1" applyFill="1" applyBorder="0" applyAlignment="1">
      <x:alignment horizontal="right" vertical="center" wrapText="1"/>
    </x:xf>
    <x:xf numFmtId="0" fontId="6" fillId="12" xfId="0" applyNumberFormat="1" applyFont="1" applyFill="1" applyBorder="0" applyAlignment="1">
      <x:alignment horizontal="right" vertical="center" wrapText="1"/>
    </x:xf>
    <x:xf numFmtId="0" fontId="6" fillId="12" borderId="24" xfId="0" applyNumberFormat="1" applyFont="1" applyFill="1" applyBorder="1" applyAlignment="1">
      <x:alignment horizontal="right" vertical="center" wrapText="1"/>
    </x:xf>
    <x:xf numFmtId="0" fontId="4" fillId="12" borderId="23" xfId="0" applyNumberFormat="1" applyFont="1" applyFill="1" applyBorder="1" applyAlignment="1">
      <x:alignment horizontal="right" vertical="center" wrapText="1"/>
    </x:xf>
    <x:xf numFmtId="0" fontId="4" fillId="12" xfId="0" applyNumberFormat="1" applyFont="1" applyFill="1" applyBorder="0" applyAlignment="1">
      <x:alignment horizontal="right" vertical="center" wrapText="1"/>
    </x:xf>
    <x:xf numFmtId="0" fontId="4" fillId="12" borderId="24" xfId="0" applyNumberFormat="1" applyFont="1" applyFill="1" applyBorder="1" applyAlignment="1">
      <x:alignment horizontal="right" vertical="center" wrapText="1"/>
    </x:xf>
    <x:xf numFmtId="0" fontId="4" fillId="12" borderId="23" xfId="0" applyNumberFormat="1" applyFont="1" applyFill="1" applyBorder="1" applyAlignment="1">
      <x:alignment horizontal="center" vertical="center" wrapText="1"/>
    </x:xf>
    <x:xf numFmtId="0" fontId="4" fillId="12" xfId="0" applyNumberFormat="1" applyFont="1" applyFill="1" applyBorder="0" applyAlignment="1">
      <x:alignment horizontal="center" vertical="center" wrapText="1"/>
    </x:xf>
    <x:xf numFmtId="0" fontId="4" fillId="12" borderId="24" xfId="0" applyNumberFormat="1" applyFont="1" applyFill="1" applyBorder="1" applyAlignment="1">
      <x:alignment horizontal="center" vertical="center" wrapText="1"/>
    </x:xf>
    <x:xf numFmtId="0" fontId="6" fillId="6" borderId="23" xfId="0" applyNumberFormat="1" applyFont="1" applyFill="1" applyBorder="1" applyAlignment="1">
      <x:alignment horizontal="right" vertical="center" wrapText="1"/>
    </x:xf>
    <x:xf numFmtId="0" fontId="23" fillId="20" borderId="23" xfId="0" applyNumberFormat="1" applyFont="1" applyFill="1" applyBorder="1" applyAlignment="1">
      <x:alignment horizontal="right" vertical="center" wrapText="1"/>
    </x:xf>
    <x:xf numFmtId="0" fontId="23" fillId="20" xfId="0" applyNumberFormat="1" applyFont="1" applyFill="1" applyBorder="0" applyAlignment="1">
      <x:alignment horizontal="right" vertical="center" wrapText="1"/>
    </x:xf>
    <x:xf numFmtId="0" fontId="16" fillId="20" borderId="23" xfId="0" applyNumberFormat="1" applyFont="1" applyFill="1" applyBorder="1" applyAlignment="1">
      <x:alignment horizontal="center" vertical="center" wrapText="1"/>
    </x:xf>
    <x:xf numFmtId="0" fontId="16" fillId="20" xfId="0" applyNumberFormat="1" applyFont="1" applyFill="1" applyBorder="0" applyAlignment="1">
      <x:alignment horizontal="center" vertical="center" wrapText="1"/>
    </x:xf>
    <x:xf numFmtId="0" fontId="16" fillId="20" borderId="24" xfId="0" applyNumberFormat="1" applyFont="1" applyFill="1" applyBorder="1" applyAlignment="1">
      <x:alignment horizontal="center" vertical="center" wrapText="1"/>
    </x:xf>
    <x:xf numFmtId="200" fontId="6" fillId="20" xfId="0" applyNumberFormat="1" applyFont="1" applyFill="1" applyBorder="0" applyAlignment="1">
      <x:alignment horizontal="right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horizontal="center" vertical="center" wrapText="1"/>
    </x:xf>
    <x:xf numFmtId="0" fontId="16" fillId="8" borderId="3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center" vertical="center" wrapText="1"/>
    </x:xf>
    <x:xf numFmtId="0" fontId="16" fillId="10" borderId="11" xfId="0" applyNumberFormat="1" applyFont="1" applyFill="1" applyBorder="1" applyAlignment="1">
      <x:alignment horizontal="center" vertical="center" wrapText="1"/>
    </x:xf>
    <x:xf numFmtId="0" fontId="16" fillId="10" borderId="12" xfId="0" applyNumberFormat="1" applyFont="1" applyFill="1" applyBorder="1" applyAlignment="1">
      <x:alignment horizontal="center" vertical="center" wrapText="1"/>
    </x:xf>
    <x:xf numFmtId="0" fontId="16" fillId="10" borderId="13" xfId="0" applyNumberFormat="1" applyFont="1" applyFill="1" applyBorder="1" applyAlignment="1">
      <x:alignment horizontal="center" vertical="center" wrapText="1"/>
    </x:xf>
    <x:xf numFmtId="0" fontId="16" fillId="11" borderId="14" xfId="0" applyNumberFormat="1" applyFont="1" applyFill="1" applyBorder="1" applyAlignment="1">
      <x:alignment horizontal="center" vertical="center" wrapText="1"/>
    </x:xf>
    <x:xf numFmtId="0" fontId="16" fillId="11" borderId="15" xfId="0" applyNumberFormat="1" applyFont="1" applyFill="1" applyBorder="1" applyAlignment="1">
      <x:alignment horizontal="center" vertical="center" wrapText="1"/>
    </x:xf>
    <x:xf numFmtId="0" fontId="16" fillId="11" borderId="16" xfId="0" applyNumberFormat="1" applyFont="1" applyFill="1" applyBorder="1" applyAlignment="1">
      <x:alignment horizontal="center" vertical="center" wrapText="1"/>
    </x:xf>
    <x:xf numFmtId="0" fontId="16" fillId="12" borderId="17" xfId="0" applyNumberFormat="1" applyFont="1" applyFill="1" applyBorder="1" applyAlignment="1">
      <x:alignment horizontal="center" vertical="center" wrapText="1"/>
    </x:xf>
    <x:xf numFmtId="0" fontId="16" fillId="12" borderId="18" xfId="0" applyNumberFormat="1" applyFont="1" applyFill="1" applyBorder="1" applyAlignment="1">
      <x:alignment horizontal="center" vertical="center" wrapText="1"/>
    </x:xf>
    <x:xf numFmtId="0" fontId="16" fillId="12" borderId="19" xfId="0" applyNumberFormat="1" applyFont="1" applyFill="1" applyBorder="1" applyAlignment="1">
      <x:alignment horizontal="center" vertical="center" wrapText="1"/>
    </x:xf>
    <x:xf numFmtId="0" fontId="16" fillId="13" borderId="20" xfId="0" applyNumberFormat="1" applyFont="1" applyFill="1" applyBorder="1" applyAlignment="1">
      <x:alignment horizontal="center" vertical="center" wrapText="1"/>
    </x:xf>
    <x:xf numFmtId="0" fontId="16" fillId="13" borderId="21" xfId="0" applyNumberFormat="1" applyFont="1" applyFill="1" applyBorder="1" applyAlignment="1">
      <x:alignment horizontal="center" vertical="center" wrapText="1"/>
    </x:xf>
    <x:xf numFmtId="0" fontId="16" fillId="13" borderId="22" xfId="0" applyNumberFormat="1" applyFont="1" applyFill="1" applyBorder="1" applyAlignment="1">
      <x:alignment horizontal="center" vertical="center" wrapText="1"/>
    </x:xf>
    <x:xf numFmtId="0" fontId="19" fillId="9" borderId="5" xfId="0" applyNumberFormat="1" applyFont="1" applyFill="1" applyBorder="1" applyAlignment="1">
      <x:alignment horizontal="center" vertical="center" wrapText="1"/>
    </x:xf>
    <x:xf numFmtId="0" fontId="19" fillId="9" borderId="6" xfId="0" applyNumberFormat="1" applyFont="1" applyFill="1" applyBorder="1" applyAlignment="1">
      <x:alignment horizontal="center" vertical="center" wrapText="1"/>
    </x:xf>
    <x:xf numFmtId="0" fontId="19" fillId="9" borderId="7" xfId="0" applyNumberFormat="1" applyFont="1" applyFill="1" applyBorder="1" applyAlignment="1">
      <x:alignment horizontal="center" vertical="center" wrapText="1"/>
    </x:xf>
    <x:xf numFmtId="0" fontId="17" fillId="9" borderId="5" xfId="0" applyNumberFormat="1" applyFont="1" applyFill="1" applyBorder="1" applyAlignment="1">
      <x:alignment horizontal="center" vertical="center" wrapText="1"/>
    </x:xf>
    <x:xf numFmtId="0" fontId="17" fillId="9" borderId="6" xfId="0" applyNumberFormat="1" applyFont="1" applyFill="1" applyBorder="1" applyAlignment="1">
      <x:alignment horizontal="center" vertical="center" wrapText="1"/>
    </x:xf>
    <x:xf numFmtId="0" fontId="17" fillId="9" borderId="7" xfId="0" applyNumberFormat="1" applyFont="1" applyFill="1" applyBorder="1" applyAlignment="1">
      <x:alignment horizontal="center" vertical="center" wrapText="1"/>
    </x:xf>
    <x:xf numFmtId="0" fontId="21" fillId="9" borderId="5" xfId="0" applyNumberFormat="1" applyFont="1" applyFill="1" applyBorder="1" applyAlignment="1">
      <x:alignment horizontal="center" vertical="center" wrapText="1"/>
    </x:xf>
    <x:xf numFmtId="0" fontId="21" fillId="9" borderId="6" xfId="0" applyNumberFormat="1" applyFont="1" applyFill="1" applyBorder="1" applyAlignment="1">
      <x:alignment horizontal="center" vertical="center" wrapText="1"/>
    </x:xf>
    <x:xf numFmtId="0" fontId="21" fillId="9" borderId="7" xfId="0" applyNumberFormat="1" applyFont="1" applyFill="1" applyBorder="1" applyAlignment="1">
      <x:alignment horizontal="center" vertical="center" wrapText="1"/>
    </x:xf>
    <x:xf numFmtId="0" fontId="22" fillId="9" borderId="5" xfId="0" applyNumberFormat="1" applyFont="1" applyFill="1" applyBorder="1" applyAlignment="1">
      <x:alignment horizontal="center" vertical="center" wrapText="1"/>
    </x:xf>
    <x:xf numFmtId="0" fontId="22" fillId="9" borderId="6" xfId="0" applyNumberFormat="1" applyFont="1" applyFill="1" applyBorder="1" applyAlignment="1">
      <x:alignment horizontal="center" vertical="center" wrapText="1"/>
    </x:xf>
    <x:xf numFmtId="0" fontId="22" fillId="9" borderId="7" xfId="0" applyNumberFormat="1" applyFont="1" applyFill="1" applyBorder="1" applyAlignment="1">
      <x:alignment horizontal="center" vertical="center" wrapText="1"/>
    </x:xf>
    <x:xf numFmtId="200" fontId="20" fillId="9" borderId="5" xfId="0" applyNumberFormat="1" applyFont="1" applyFill="1" applyBorder="1" applyAlignment="1">
      <x:alignment horizontal="center" vertical="center" wrapText="1"/>
    </x:xf>
    <x:xf numFmtId="0" fontId="20" fillId="9" borderId="6" xfId="0" applyNumberFormat="1" applyFont="1" applyFill="1" applyBorder="1" applyAlignment="1">
      <x:alignment horizontal="center" vertical="center" wrapText="1"/>
    </x:xf>
    <x:xf numFmtId="0" fontId="20" fillId="9" borderId="7" xfId="0" applyNumberFormat="1" applyFont="1" applyFill="1" applyBorder="1" applyAlignment="1">
      <x:alignment horizontal="center" vertical="center" wrapText="1"/>
    </x:xf>
    <x:xf numFmtId="0" fontId="19" fillId="9" borderId="8" xfId="0" applyNumberFormat="1" applyFont="1" applyFill="1" applyBorder="1" applyAlignment="1">
      <x:alignment horizontal="center" vertical="center" wrapText="1"/>
    </x:xf>
    <x:xf numFmtId="0" fontId="19" fillId="9" borderId="9" xfId="0" applyNumberFormat="1" applyFont="1" applyFill="1" applyBorder="1" applyAlignment="1">
      <x:alignment horizontal="center" vertical="center" wrapText="1"/>
    </x:xf>
    <x:xf numFmtId="0" fontId="19" fillId="9" borderId="10" xfId="0" applyNumberFormat="1" applyFont="1" applyFill="1" applyBorder="1" applyAlignment="1">
      <x:alignment horizontal="center" vertical="center" wrapText="1"/>
    </x:xf>
    <x:xf numFmtId="0" fontId="17" fillId="9" borderId="8" xfId="0" applyNumberFormat="1" applyFont="1" applyFill="1" applyBorder="1" applyAlignment="1">
      <x:alignment horizontal="center" vertical="center" wrapText="1"/>
    </x:xf>
    <x:xf numFmtId="0" fontId="17" fillId="9" borderId="9" xfId="0" applyNumberFormat="1" applyFont="1" applyFill="1" applyBorder="1" applyAlignment="1">
      <x:alignment horizontal="center" vertical="center" wrapText="1"/>
    </x:xf>
    <x:xf numFmtId="0" fontId="17" fillId="9" borderId="10" xfId="0" applyNumberFormat="1" applyFont="1" applyFill="1" applyBorder="1" applyAlignment="1">
      <x:alignment horizontal="center" vertical="center" wrapText="1"/>
    </x:xf>
    <x:xf numFmtId="0" fontId="21" fillId="9" borderId="8" xfId="0" applyNumberFormat="1" applyFont="1" applyFill="1" applyBorder="1" applyAlignment="1">
      <x:alignment horizontal="center" vertical="center" wrapText="1"/>
    </x:xf>
    <x:xf numFmtId="0" fontId="21" fillId="9" borderId="9" xfId="0" applyNumberFormat="1" applyFont="1" applyFill="1" applyBorder="1" applyAlignment="1">
      <x:alignment horizontal="center" vertical="center" wrapText="1"/>
    </x:xf>
    <x:xf numFmtId="0" fontId="21" fillId="9" borderId="10" xfId="0" applyNumberFormat="1" applyFont="1" applyFill="1" applyBorder="1" applyAlignment="1">
      <x:alignment horizontal="center" vertical="center" wrapText="1"/>
    </x:xf>
    <x:xf numFmtId="0" fontId="22" fillId="9" borderId="8" xfId="0" applyNumberFormat="1" applyFont="1" applyFill="1" applyBorder="1" applyAlignment="1">
      <x:alignment horizontal="center" vertical="center" wrapText="1"/>
    </x:xf>
    <x:xf numFmtId="0" fontId="22" fillId="9" borderId="9" xfId="0" applyNumberFormat="1" applyFont="1" applyFill="1" applyBorder="1" applyAlignment="1">
      <x:alignment horizontal="center" vertical="center" wrapText="1"/>
    </x:xf>
    <x:xf numFmtId="0" fontId="22" fillId="9" borderId="10" xfId="0" applyNumberFormat="1" applyFont="1" applyFill="1" applyBorder="1" applyAlignment="1">
      <x:alignment horizontal="center" vertical="center" wrapText="1"/>
    </x:xf>
    <x:xf numFmtId="0" fontId="20" fillId="9" borderId="8" xfId="0" applyNumberFormat="1" applyFont="1" applyFill="1" applyBorder="1" applyAlignment="1">
      <x:alignment horizontal="center" vertical="center" wrapText="1"/>
    </x:xf>
    <x:xf numFmtId="0" fontId="20" fillId="9" borderId="9" xfId="0" applyNumberFormat="1" applyFont="1" applyFill="1" applyBorder="1" applyAlignment="1">
      <x:alignment horizontal="center" vertical="center" wrapText="1"/>
    </x:xf>
    <x:xf numFmtId="0" fontId="20" fillId="9" borderId="10" xfId="0" applyNumberFormat="1" applyFont="1" applyFill="1" applyBorder="1" applyAlignment="1">
      <x:alignment horizontal="center" vertical="center" wrapText="1"/>
    </x:xf>
    <x:xf numFmtId="201" fontId="17" fillId="14" borderId="5" xfId="0" applyNumberFormat="1" applyFont="1" applyFill="1" applyBorder="1" applyAlignment="1">
      <x:alignment horizontal="center" vertical="center" wrapText="1"/>
    </x:xf>
    <x:xf numFmtId="0" fontId="17" fillId="14" borderId="6" xfId="0" applyNumberFormat="1" applyFont="1" applyFill="1" applyBorder="1" applyAlignment="1">
      <x:alignment horizontal="center" vertical="center" wrapText="1"/>
    </x:xf>
    <x:xf numFmtId="0" fontId="17" fillId="14" borderId="7" xfId="0" applyNumberFormat="1" applyFont="1" applyFill="1" applyBorder="1" applyAlignment="1">
      <x:alignment horizontal="center" vertical="center" wrapText="1"/>
    </x:xf>
    <x:xf numFmtId="203" fontId="19" fillId="15" borderId="5" xfId="0" applyNumberFormat="1" applyFont="1" applyFill="1" applyBorder="1" applyAlignment="1">
      <x:alignment horizontal="center" vertical="center" wrapText="1"/>
    </x:xf>
    <x:xf numFmtId="0" fontId="19" fillId="15" borderId="6" xfId="0" applyNumberFormat="1" applyFont="1" applyFill="1" applyBorder="1" applyAlignment="1">
      <x:alignment horizontal="center" vertical="center" wrapText="1"/>
    </x:xf>
    <x:xf numFmtId="0" fontId="19" fillId="15" borderId="7" xfId="0" applyNumberFormat="1" applyFont="1" applyFill="1" applyBorder="1" applyAlignment="1">
      <x:alignment horizontal="center" vertical="center" wrapText="1"/>
    </x:xf>
    <x:xf numFmtId="203" fontId="21" fillId="16" borderId="5" xfId="0" applyNumberFormat="1" applyFont="1" applyFill="1" applyBorder="1" applyAlignment="1">
      <x:alignment horizontal="center" vertical="center" wrapText="1"/>
    </x:xf>
    <x:xf numFmtId="0" fontId="21" fillId="16" borderId="6" xfId="0" applyNumberFormat="1" applyFont="1" applyFill="1" applyBorder="1" applyAlignment="1">
      <x:alignment horizontal="center" vertical="center" wrapText="1"/>
    </x:xf>
    <x:xf numFmtId="0" fontId="21" fillId="16" borderId="7" xfId="0" applyNumberFormat="1" applyFont="1" applyFill="1" applyBorder="1" applyAlignment="1">
      <x:alignment horizontal="center" vertical="center" wrapText="1"/>
    </x:xf>
    <x:xf numFmtId="0" fontId="17" fillId="14" borderId="23" xfId="0" applyNumberFormat="1" applyFont="1" applyFill="1" applyBorder="1" applyAlignment="1">
      <x:alignment horizontal="center" vertical="center" wrapText="1"/>
    </x:xf>
    <x:xf numFmtId="0" fontId="17" fillId="14" xfId="0" applyNumberFormat="1" applyFont="1" applyFill="1" applyBorder="0" applyAlignment="1">
      <x:alignment horizontal="center" vertical="center" wrapText="1"/>
    </x:xf>
    <x:xf numFmtId="0" fontId="17" fillId="14" borderId="24" xfId="0" applyNumberFormat="1" applyFont="1" applyFill="1" applyBorder="1" applyAlignment="1">
      <x:alignment horizontal="center" vertical="center" wrapText="1"/>
    </x:xf>
    <x:xf numFmtId="0" fontId="19" fillId="15" borderId="23" xfId="0" applyNumberFormat="1" applyFont="1" applyFill="1" applyBorder="1" applyAlignment="1">
      <x:alignment horizontal="center"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9" fillId="15" borderId="24" xfId="0" applyNumberFormat="1" applyFont="1" applyFill="1" applyBorder="1" applyAlignment="1">
      <x:alignment horizontal="center" vertical="center" wrapText="1"/>
    </x:xf>
    <x:xf numFmtId="0" fontId="21" fillId="16" borderId="23" xfId="0" applyNumberFormat="1" applyFont="1" applyFill="1" applyBorder="1" applyAlignment="1">
      <x:alignment horizontal="center" vertical="center" wrapText="1"/>
    </x:xf>
    <x:xf numFmtId="0" fontId="21" fillId="16" xfId="0" applyNumberFormat="1" applyFont="1" applyFill="1" applyBorder="0" applyAlignment="1">
      <x:alignment horizontal="center" vertical="center" wrapText="1"/>
    </x:xf>
    <x:xf numFmtId="0" fontId="21" fillId="16" borderId="24" xfId="0" applyNumberFormat="1" applyFont="1" applyFill="1" applyBorder="1" applyAlignment="1">
      <x:alignment horizontal="center" vertical="center" wrapText="1"/>
    </x:xf>
    <x:xf numFmtId="0" fontId="17" fillId="14" borderId="8" xfId="0" applyNumberFormat="1" applyFont="1" applyFill="1" applyBorder="1" applyAlignment="1">
      <x:alignment horizontal="center" vertical="center" wrapText="1"/>
    </x:xf>
    <x:xf numFmtId="0" fontId="17" fillId="14" borderId="9" xfId="0" applyNumberFormat="1" applyFont="1" applyFill="1" applyBorder="1" applyAlignment="1">
      <x:alignment horizontal="center" vertical="center" wrapText="1"/>
    </x:xf>
    <x:xf numFmtId="0" fontId="17" fillId="14" borderId="10" xfId="0" applyNumberFormat="1" applyFont="1" applyFill="1" applyBorder="1" applyAlignment="1">
      <x:alignment horizontal="center" vertical="center" wrapText="1"/>
    </x:xf>
    <x:xf numFmtId="0" fontId="19" fillId="15" borderId="8" xfId="0" applyNumberFormat="1" applyFont="1" applyFill="1" applyBorder="1" applyAlignment="1">
      <x:alignment horizontal="center" vertical="center" wrapText="1"/>
    </x:xf>
    <x:xf numFmtId="0" fontId="19" fillId="15" borderId="9" xfId="0" applyNumberFormat="1" applyFont="1" applyFill="1" applyBorder="1" applyAlignment="1">
      <x:alignment horizontal="center" vertical="center" wrapText="1"/>
    </x:xf>
    <x:xf numFmtId="0" fontId="19" fillId="15" borderId="10" xfId="0" applyNumberFormat="1" applyFont="1" applyFill="1" applyBorder="1" applyAlignment="1">
      <x:alignment horizontal="center" vertical="center" wrapText="1"/>
    </x:xf>
    <x:xf numFmtId="0" fontId="21" fillId="16" borderId="8" xfId="0" applyNumberFormat="1" applyFont="1" applyFill="1" applyBorder="1" applyAlignment="1">
      <x:alignment horizontal="center" vertical="center" wrapText="1"/>
    </x:xf>
    <x:xf numFmtId="0" fontId="21" fillId="16" borderId="9" xfId="0" applyNumberFormat="1" applyFont="1" applyFill="1" applyBorder="1" applyAlignment="1">
      <x:alignment horizontal="center" vertical="center" wrapText="1"/>
    </x:xf>
    <x:xf numFmtId="0" fontId="21" fillId="16" borderId="10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center" vertical="center" wrapText="1"/>
    </x:xf>
    <x:xf numFmtId="0" fontId="16" fillId="7" borderId="23" xfId="0" applyNumberFormat="1" applyFont="1" applyFill="1" applyBorder="1" applyAlignment="1">
      <x:alignment horizontal="center" vertical="center" wrapText="1"/>
    </x:xf>
    <x:xf numFmtId="0" fontId="16" fillId="7" borderId="8" xfId="0" applyNumberFormat="1" applyFont="1" applyFill="1" applyBorder="1" applyAlignment="1">
      <x:alignment horizontal="center" vertical="center" wrapText="1"/>
    </x:xf>
    <x:xf numFmtId="0" fontId="16" fillId="6" borderId="28" xfId="0" applyNumberFormat="1" applyFont="1" applyFill="1" applyBorder="1" applyAlignment="1">
      <x:alignment horizontal="center" vertical="center" wrapText="1"/>
    </x:xf>
    <x:xf numFmtId="0" fontId="16" fillId="6" borderId="29" xfId="0" applyNumberFormat="1" applyFont="1" applyFill="1" applyBorder="1" applyAlignment="1">
      <x:alignment horizontal="center" vertical="center" wrapText="1"/>
    </x:xf>
    <x:xf numFmtId="0" fontId="16" fillId="6" borderId="30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0" fontId="23" fillId="20" borderId="23" xfId="0" applyNumberFormat="1" applyFont="1" applyFill="1" applyBorder="1" applyAlignment="1">
      <x:alignment horizontal="center" vertical="center" wrapText="1"/>
    </x:xf>
    <x:xf numFmtId="205" fontId="22" fillId="19" xfId="0" applyNumberFormat="1" applyFont="1" applyFill="1" applyBorder="0" applyAlignment="1">
      <x:alignment horizontal="center" vertical="center" wrapText="1"/>
    </x:xf>
    <x:xf numFmtId="202" fontId="28" fillId="0" borderId="0" xfId="0" applyNumberFormat="1" applyFont="1" applyFill="1" applyBorder="1"/>
    <x:xf numFmtId="0" fontId="28" fillId="0" borderId="0" xfId="0" applyNumberFormat="1" applyFont="1" applyFill="1" applyBorder="1"/>
    <x:xf numFmtId="0" fontId="23" fillId="9" borderId="23" xfId="0" applyNumberFormat="1" applyFont="1" applyFill="1" applyBorder="1" applyAlignment="1">
      <x:alignment horizontal="center" vertical="center" wrapText="1"/>
    </x:xf>
    <x:xf numFmtId="0" fontId="23" fillId="20" borderId="8" xfId="0" applyNumberFormat="1" applyFont="1" applyFill="1" applyBorder="1" applyAlignment="1">
      <x:alignment horizontal="center" vertical="center" wrapText="1"/>
    </x:xf>
    <x:xf numFmtId="205" fontId="22" fillId="19" borderId="9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 applyAlignment="1">
      <x:alignment vertical="center"/>
    </x:xf>
    <x:xf numFmtId="0" fontId="16" fillId="10" borderId="23" xfId="0" applyNumberFormat="1" applyFont="1" applyFill="1" applyBorder="1" applyAlignment="1">
      <x:alignment horizontal="center" vertical="center" wrapText="1"/>
    </x:xf>
    <x:xf numFmtId="0" fontId="16" fillId="10" xfId="0" applyNumberFormat="1" applyFont="1" applyFill="1" applyBorder="0" applyAlignment="1">
      <x:alignment horizontal="center" vertical="center" wrapText="1"/>
    </x:xf>
    <x:xf numFmtId="0" fontId="16" fillId="10" borderId="24" xfId="0" applyNumberFormat="1" applyFont="1" applyFill="1" applyBorder="1" applyAlignment="1">
      <x:alignment horizontal="center" vertical="center" wrapText="1"/>
    </x:xf>
    <x:xf numFmtId="0" fontId="16" fillId="11" borderId="23" xfId="0" applyNumberFormat="1" applyFont="1" applyFill="1" applyBorder="1" applyAlignment="1">
      <x:alignment horizontal="center" vertical="center" wrapText="1"/>
    </x:xf>
    <x:xf numFmtId="0" fontId="16" fillId="11" xfId="0" applyNumberFormat="1" applyFont="1" applyFill="1" applyBorder="0" applyAlignment="1">
      <x:alignment horizontal="center" vertical="center" wrapText="1"/>
    </x:xf>
    <x:xf numFmtId="0" fontId="16" fillId="11" borderId="24" xfId="0" applyNumberFormat="1" applyFont="1" applyFill="1" applyBorder="1" applyAlignment="1">
      <x:alignment horizontal="center" vertical="center" wrapText="1"/>
    </x:xf>
    <x:xf numFmtId="0" fontId="16" fillId="8" borderId="23" xfId="0" applyNumberFormat="1" applyFont="1" applyFill="1" applyBorder="1" applyAlignment="1">
      <x:alignment horizontal="center" vertical="center" wrapText="1"/>
    </x:xf>
    <x:xf numFmtId="0" fontId="16" fillId="8" xfId="0" applyNumberFormat="1" applyFont="1" applyFill="1" applyBorder="0" applyAlignment="1">
      <x:alignment horizontal="center" vertical="center" wrapText="1"/>
    </x:xf>
    <x:xf numFmtId="0" fontId="16" fillId="8" borderId="24" xfId="0" applyNumberFormat="1" applyFont="1" applyFill="1" applyBorder="1" applyAlignment="1">
      <x:alignment horizontal="center" vertical="center" wrapText="1"/>
    </x:xf>
    <x:xf numFmtId="0" fontId="16" fillId="12" borderId="23" xfId="0" applyNumberFormat="1" applyFont="1" applyFill="1" applyBorder="1" applyAlignment="1">
      <x:alignment horizontal="center" vertical="center" wrapText="1"/>
    </x:xf>
    <x:xf numFmtId="0" fontId="16" fillId="12" xfId="0" applyNumberFormat="1" applyFont="1" applyFill="1" applyBorder="0" applyAlignment="1">
      <x:alignment horizontal="center" vertical="center" wrapText="1"/>
    </x:xf>
    <x:xf numFmtId="0" fontId="16" fillId="12" borderId="24" xfId="0" applyNumberFormat="1" applyFont="1" applyFill="1" applyBorder="1" applyAlignment="1">
      <x:alignment horizontal="center" vertical="center" wrapText="1"/>
    </x:xf>
    <x:xf numFmtId="207" fontId="6" fillId="17" borderId="26" xfId="0" applyNumberFormat="1" applyFont="1" applyFill="1" applyBorder="1" applyAlignment="1">
      <x:alignment horizontal="center" vertical="center" wrapText="1"/>
    </x:xf>
    <x:xf numFmtId="207" fontId="6" fillId="15" borderId="26" xfId="0" applyNumberFormat="1" applyFont="1" applyFill="1" applyBorder="1" applyAlignment="1">
      <x:alignment horizontal="center" vertical="center" wrapText="1"/>
    </x:xf>
    <x:xf numFmtId="207" fontId="6" fillId="18" borderId="26" xfId="0" applyNumberFormat="1" applyFont="1" applyFill="1" applyBorder="1" applyAlignment="1">
      <x:alignment horizontal="center" vertical="center" wrapText="1"/>
    </x:xf>
    <x:xf numFmtId="208" fontId="6" fillId="9" borderId="5" xfId="0" applyNumberFormat="1" applyFont="1" applyFill="1" applyBorder="1" applyAlignment="1">
      <x:alignment horizontal="center" vertical="center" wrapText="1"/>
    </x:xf>
    <x:xf numFmtId="208" fontId="6" fillId="9" borderId="6" xfId="0" applyNumberFormat="1" applyFont="1" applyFill="1" applyBorder="1" applyAlignment="1">
      <x:alignment horizontal="center" vertical="center" wrapText="1"/>
    </x:xf>
    <x:xf numFmtId="208" fontId="6" fillId="9" borderId="23" xfId="0" applyNumberFormat="1" applyFont="1" applyFill="1" applyBorder="1" applyAlignment="1">
      <x:alignment horizontal="center" vertical="center" wrapText="1"/>
    </x:xf>
    <x:xf numFmtId="208" fontId="6" fillId="9" xfId="0" applyNumberFormat="1" applyFont="1" applyFill="1" applyBorder="0" applyAlignment="1">
      <x:alignment horizontal="center" vertical="center" wrapText="1"/>
    </x:xf>
    <x:xf numFmtId="208" fontId="6" fillId="9" borderId="8" xfId="0" applyNumberFormat="1" applyFont="1" applyFill="1" applyBorder="1" applyAlignment="1">
      <x:alignment horizontal="center" vertical="center" wrapText="1"/>
    </x:xf>
    <x:xf numFmtId="208" fontId="6" fillId="9" borderId="9" xfId="0" applyNumberFormat="1" applyFont="1" applyFill="1" applyBorder="1" applyAlignment="1">
      <x:alignment horizontal="center" vertical="center" wrapText="1"/>
    </x:xf>
    <x:xf numFmtId="208" fontId="22" fillId="19" xfId="0" applyNumberFormat="1" applyFont="1" applyFill="1" applyBorder="0" applyAlignment="1">
      <x:alignment horizontal="center" vertical="center" wrapText="1"/>
    </x:xf>
    <x:xf numFmtId="208" fontId="22" fillId="19" borderId="9" xfId="0" applyNumberFormat="1" applyFont="1" applyFill="1" applyBorder="1" applyAlignment="1">
      <x:alignment horizontal="center" vertical="center" wrapText="1"/>
    </x:xf>
    <x:xf numFmtId="208" fontId="6" fillId="20" xfId="0" applyNumberFormat="1" applyFont="1" applyFill="1" applyBorder="0" applyAlignment="1">
      <x:alignment horizontal="right" vertical="center" wrapText="1"/>
    </x:xf>
    <x:xf numFmtId="208" fontId="6" fillId="9" xfId="0" applyNumberFormat="1" applyFont="1" applyFill="1" applyBorder="0" applyAlignment="1">
      <x:alignment horizontal="right" vertical="center" wrapText="1"/>
    </x:xf>
    <x:xf numFmtId="208" fontId="6" fillId="9" borderId="9" xfId="0" applyNumberFormat="1" applyFont="1" applyFill="1" applyBorder="1" applyAlignment="1">
      <x:alignment horizontal="right" vertical="center" wrapText="1"/>
    </x:xf>
    <x:xf numFmtId="203" fontId="6" fillId="20" xfId="0" applyNumberFormat="1" applyFont="1" applyFill="1" applyBorder="0" applyAlignment="1">
      <x:alignment horizontal="right" vertical="center" wrapText="1"/>
    </x:xf>
    <x:xf numFmtId="203" fontId="6" fillId="9" xfId="0" applyNumberFormat="1" applyFont="1" applyFill="1" applyBorder="0" applyAlignment="1">
      <x:alignment horizontal="right" vertical="center" wrapText="1"/>
    </x:xf>
    <x:xf numFmtId="203" fontId="6" fillId="9" borderId="9" xfId="0" applyNumberFormat="1" applyFont="1" applyFill="1" applyBorder="1" applyAlignment="1">
      <x:alignment horizontal="right" vertical="center" wrapText="1"/>
    </x:xf>
    <x:xf numFmtId="208" fontId="26" fillId="19" borderId="32" xfId="0" applyNumberFormat="1" applyFont="1" applyFill="1" applyBorder="1" applyAlignment="1">
      <x:alignment horizontal="center" vertical="center" wrapText="1"/>
    </x:xf>
    <x:xf numFmtId="208" fontId="26" fillId="19" xfId="0" applyNumberFormat="1" applyFont="1" applyFill="1" applyBorder="0" applyAlignment="1">
      <x:alignment horizontal="center" vertical="center" wrapText="1"/>
    </x:xf>
    <x:xf numFmtId="208" fontId="26" fillId="19" borderId="37" xfId="0" applyNumberFormat="1" applyFont="1" applyFill="1" applyBorder="1" applyAlignment="1">
      <x:alignment horizontal="center" vertical="center" wrapText="1"/>
    </x:xf>
    <x:xf numFmtId="208" fontId="27" fillId="14" borderId="40" xfId="0" applyNumberFormat="1" applyFont="1" applyFill="1" applyBorder="1" applyAlignment="1">
      <x:alignment horizontal="center" vertical="center" wrapText="1"/>
    </x:xf>
    <x:xf numFmtId="208" fontId="27" fillId="14" xfId="0" applyNumberFormat="1" applyFont="1" applyFill="1" applyBorder="0" applyAlignment="1">
      <x:alignment horizontal="center" vertical="center" wrapText="1"/>
    </x:xf>
    <x:xf numFmtId="208" fontId="27" fillId="14" borderId="45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12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right" vertical="center" wrapText="1"/>
    </x:xf>
    <x:xf numFmtId="0" fontId="6" fillId="3" xfId="0" applyNumberFormat="1" applyFont="1" applyFill="1" applyBorder="0" applyAlignment="1">
      <x:alignment horizontal="right" vertical="center" wrapText="1"/>
    </x:xf>
    <x:xf numFmtId="0" fontId="6" fillId="3" borderId="24" xfId="0" applyNumberFormat="1" applyFont="1" applyFill="1" applyBorder="1" applyAlignment="1">
      <x:alignment horizontal="right" vertical="center" wrapText="1"/>
    </x:xf>
    <x:xf numFmtId="0" fontId="4" fillId="3" borderId="23" xfId="0" applyNumberFormat="1" applyFont="1" applyFill="1" applyBorder="1" applyAlignment="1">
      <x:alignment horizontal="right" vertical="center" wrapText="1"/>
    </x:xf>
    <x:xf numFmtId="0" fontId="4" fillId="3" xfId="0" applyNumberFormat="1" applyFont="1" applyFill="1" applyBorder="0" applyAlignment="1">
      <x:alignment horizontal="right" vertical="center" wrapText="1"/>
    </x:xf>
    <x:xf numFmtId="0" fontId="4" fillId="3" borderId="24" xfId="0" applyNumberFormat="1" applyFont="1" applyFill="1" applyBorder="1" applyAlignment="1">
      <x:alignment horizontal="right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4" fillId="3" xfId="0" applyNumberFormat="1" applyFont="1" applyFill="1" applyBorder="0" applyAlignment="1">
      <x:alignment horizontal="center" vertical="center" wrapText="1"/>
    </x:xf>
    <x:xf numFmtId="0" fontId="4" fillId="3" borderId="24" xfId="0" applyNumberFormat="1" applyFont="1" applyFill="1" applyBorder="1" applyAlignment="1">
      <x:alignment horizontal="center" vertical="center" wrapText="1"/>
    </x:xf>
    <x:xf numFmtId="0" fontId="16" fillId="3" borderId="11" xfId="0" applyNumberFormat="1" applyFont="1" applyFill="1" applyBorder="1" applyAlignment="1">
      <x:alignment horizontal="center" vertical="center" wrapText="1"/>
    </x:xf>
    <x:xf numFmtId="0" fontId="16" fillId="3" borderId="12" xfId="0" applyNumberFormat="1" applyFont="1" applyFill="1" applyBorder="1" applyAlignment="1">
      <x:alignment horizontal="center" vertical="center" wrapText="1"/>
    </x:xf>
    <x:xf numFmtId="0" fontId="16" fillId="3" borderId="13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6" fillId="3" borderId="23" xfId="0" applyNumberFormat="1" applyFont="1" applyFill="1" applyBorder="1" applyAlignment="1">
      <x:alignment horizontal="center" vertical="center" wrapText="1"/>
    </x:xf>
    <x:xf numFmtId="0" fontId="16" fillId="3" xfId="0" applyNumberFormat="1" applyFont="1" applyFill="1" applyBorder="0" applyAlignment="1">
      <x:alignment horizontal="center" vertical="center" wrapText="1"/>
    </x:xf>
    <x:xf numFmtId="0" fontId="16" fillId="3" borderId="24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wrapText="1"/>
    </x:xf>
    <x:xf numFmtId="0" fontId="6" fillId="23" borderId="0" xfId="0" applyNumberFormat="1" applyFont="1" applyFill="1" applyBorder="1" applyAlignment="1">
      <x:alignment horizontal="right" wrapText="1"/>
    </x:xf>
    <x:xf numFmtId="0" fontId="6" fillId="23" borderId="0" xfId="0" applyNumberFormat="1" applyFont="1" applyFill="1" applyBorder="1" applyAlignment="1">
      <x:alignment horizontal="right" vertical="center" wrapText="1"/>
    </x:xf>
    <x:xf numFmtId="0" fontId="6" fillId="24" borderId="0" xfId="0" applyNumberFormat="1" applyFont="1" applyFill="1" applyBorder="1" applyAlignment="1">
      <x:alignment horizontal="right" vertical="center" wrapText="1"/>
    </x:xf>
    <x:xf numFmtId="0" fontId="7" fillId="24" borderId="0" xfId="0" applyNumberFormat="1" applyFont="1" applyFill="1" applyBorder="1" applyAlignment="1">
      <x:alignment horizontal="right" vertical="center" wrapText="1"/>
    </x:xf>
    <x:xf numFmtId="0" fontId="7" fillId="24" borderId="0" xfId="0" applyNumberFormat="1" applyFont="1" applyFill="1" applyBorder="1" applyAlignment="1">
      <x:alignment horizontal="center" vertical="center" wrapText="1"/>
    </x:xf>
    <x:xf numFmtId="0" fontId="6" fillId="25" borderId="0" xfId="0" applyNumberFormat="1" applyFont="1" applyFill="1" applyBorder="1" applyAlignment="1">
      <x:alignment horizontal="right" vertical="center" wrapText="1"/>
    </x:xf>
    <x:xf numFmtId="0" fontId="2" fillId="25" borderId="0" xfId="0" applyNumberFormat="1" applyFont="1" applyFill="1" applyBorder="1" applyAlignment="1">
      <x:alignment horizontal="right" vertic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0" fontId="6" fillId="26" borderId="0" xfId="0" applyNumberFormat="1" applyFont="1" applyFill="1" applyBorder="1" applyAlignment="1">
      <x:alignment horizontal="right" vertical="center" wrapText="1"/>
    </x:xf>
    <x:xf numFmtId="0" fontId="2" fillId="26" borderId="0" xfId="0" applyNumberFormat="1" applyFont="1" applyFill="1" applyBorder="1" applyAlignment="1">
      <x:alignment horizontal="right" vertic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horizontal="right" vertical="center" wrapText="1"/>
    </x:xf>
    <x:xf numFmtId="0" fontId="14" fillId="27" borderId="0" xfId="0" applyNumberFormat="1" applyFont="1" applyFill="1" applyBorder="1" applyAlignment="1">
      <x:alignment horizontal="right" vertical="center" wrapText="1"/>
    </x:xf>
    <x:xf numFmtId="0" fontId="14" fillId="27" borderId="5" xfId="0" applyNumberFormat="1" applyFont="1" applyFill="1" applyBorder="1" applyAlignment="1">
      <x:alignment horizontal="right" vertical="center" wrapText="1"/>
    </x:xf>
    <x:xf numFmtId="0" fontId="14" fillId="27" borderId="6" xfId="0" applyNumberFormat="1" applyFont="1" applyFill="1" applyBorder="1" applyAlignment="1">
      <x:alignment horizontal="right" vertical="center" wrapText="1"/>
    </x:xf>
    <x:xf numFmtId="0" fontId="14" fillId="27" borderId="7" xfId="0" applyNumberFormat="1" applyFont="1" applyFill="1" applyBorder="1" applyAlignment="1">
      <x:alignment horizontal="right" vertical="center" wrapText="1"/>
    </x:xf>
    <x:xf numFmtId="0" fontId="14" fillId="27" borderId="8" xfId="0" applyNumberFormat="1" applyFont="1" applyFill="1" applyBorder="1" applyAlignment="1">
      <x:alignment horizontal="right" vertical="center" wrapText="1"/>
    </x:xf>
    <x:xf numFmtId="0" fontId="14" fillId="27" borderId="9" xfId="0" applyNumberFormat="1" applyFont="1" applyFill="1" applyBorder="1" applyAlignment="1">
      <x:alignment horizontal="right" vertical="center" wrapText="1"/>
    </x:xf>
    <x:xf numFmtId="0" fontId="14" fillId="27" borderId="10" xfId="0" applyNumberFormat="1" applyFont="1" applyFill="1" applyBorder="1" applyAlignment="1">
      <x:alignment horizontal="right" vertical="center" wrapText="1"/>
    </x:xf>
    <x:xf numFmtId="0" fontId="14" fillId="27" borderId="5" xfId="0" applyNumberFormat="1" applyFont="1" applyFill="1" applyBorder="1" applyAlignment="1">
      <x:alignment horizontal="center" vertical="center" wrapText="1"/>
    </x:xf>
    <x:xf numFmtId="0" fontId="14" fillId="27" borderId="6" xfId="0" applyNumberFormat="1" applyFont="1" applyFill="1" applyBorder="1" applyAlignment="1">
      <x:alignment horizontal="center" vertical="center" wrapText="1"/>
    </x:xf>
    <x:xf numFmtId="0" fontId="14" fillId="27" borderId="7" xfId="0" applyNumberFormat="1" applyFont="1" applyFill="1" applyBorder="1" applyAlignment="1">
      <x:alignment horizontal="center" vertical="center" wrapText="1"/>
    </x:xf>
    <x:xf numFmtId="0" fontId="14" fillId="27" borderId="8" xfId="0" applyNumberFormat="1" applyFont="1" applyFill="1" applyBorder="1" applyAlignment="1">
      <x:alignment horizontal="center" vertical="center" wrapText="1"/>
    </x:xf>
    <x:xf numFmtId="0" fontId="14" fillId="27" borderId="9" xfId="0" applyNumberFormat="1" applyFont="1" applyFill="1" applyBorder="1" applyAlignment="1">
      <x:alignment horizontal="center" vertical="center" wrapText="1"/>
    </x:xf>
    <x:xf numFmtId="0" fontId="14" fillId="27" borderId="10" xfId="0" applyNumberFormat="1" applyFont="1" applyFill="1" applyBorder="1" applyAlignment="1">
      <x:alignment horizontal="center" vertical="center" wrapText="1"/>
    </x:xf>
    <x:xf numFmtId="208" fontId="14" fillId="27" borderId="5" xfId="0" applyNumberFormat="1" applyFont="1" applyFill="1" applyBorder="1" applyAlignment="1">
      <x:alignment horizontal="center" vertical="center" wrapText="1"/>
    </x:xf>
    <x:xf numFmtId="0" fontId="6" fillId="28" borderId="0" xfId="0" applyNumberFormat="1" applyFont="1" applyFill="1" applyBorder="1" applyAlignment="1">
      <x:alignment horizontal="right" vertical="center" wrapText="1"/>
    </x:xf>
    <x:xf numFmtId="0" fontId="2" fillId="28" borderId="0" xfId="0" applyNumberFormat="1" applyFont="1" applyFill="1" applyBorder="1" applyAlignment="1">
      <x:alignment horizontal="right" vertic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13" fillId="27" borderId="0" xfId="0" applyNumberFormat="1" applyFont="1" applyFill="1" applyBorder="1" applyAlignment="1">
      <x:alignment horizontal="right" vertical="center" wrapText="1"/>
    </x:xf>
    <x:xf numFmtId="0" fontId="13" fillId="27" borderId="5" xfId="0" applyNumberFormat="1" applyFont="1" applyFill="1" applyBorder="1" applyAlignment="1">
      <x:alignment horizontal="right" vertical="center" wrapText="1"/>
    </x:xf>
    <x:xf numFmtId="0" fontId="13" fillId="27" borderId="6" xfId="0" applyNumberFormat="1" applyFont="1" applyFill="1" applyBorder="1" applyAlignment="1">
      <x:alignment horizontal="right" vertical="center" wrapText="1"/>
    </x:xf>
    <x:xf numFmtId="0" fontId="13" fillId="27" borderId="7" xfId="0" applyNumberFormat="1" applyFont="1" applyFill="1" applyBorder="1" applyAlignment="1">
      <x:alignment horizontal="right" vertical="center" wrapText="1"/>
    </x:xf>
    <x:xf numFmtId="0" fontId="13" fillId="27" borderId="8" xfId="0" applyNumberFormat="1" applyFont="1" applyFill="1" applyBorder="1" applyAlignment="1">
      <x:alignment horizontal="right" vertical="center" wrapText="1"/>
    </x:xf>
    <x:xf numFmtId="0" fontId="13" fillId="27" borderId="9" xfId="0" applyNumberFormat="1" applyFont="1" applyFill="1" applyBorder="1" applyAlignment="1">
      <x:alignment horizontal="right" vertical="center" wrapText="1"/>
    </x:xf>
    <x:xf numFmtId="0" fontId="13" fillId="27" borderId="10" xfId="0" applyNumberFormat="1" applyFont="1" applyFill="1" applyBorder="1" applyAlignment="1">
      <x:alignment horizontal="right" vertical="center" wrapText="1"/>
    </x:xf>
    <x:xf numFmtId="0" fontId="13" fillId="27" borderId="5" xfId="0" applyNumberFormat="1" applyFont="1" applyFill="1" applyBorder="1" applyAlignment="1">
      <x:alignment horizontal="center" vertical="center" wrapText="1"/>
    </x:xf>
    <x:xf numFmtId="0" fontId="13" fillId="27" borderId="6" xfId="0" applyNumberFormat="1" applyFont="1" applyFill="1" applyBorder="1" applyAlignment="1">
      <x:alignment horizontal="center" vertical="center" wrapText="1"/>
    </x:xf>
    <x:xf numFmtId="0" fontId="13" fillId="27" borderId="7" xfId="0" applyNumberFormat="1" applyFont="1" applyFill="1" applyBorder="1" applyAlignment="1">
      <x:alignment horizontal="center" vertical="center" wrapText="1"/>
    </x:xf>
    <x:xf numFmtId="0" fontId="13" fillId="27" borderId="8" xfId="0" applyNumberFormat="1" applyFont="1" applyFill="1" applyBorder="1" applyAlignment="1">
      <x:alignment horizontal="center" vertical="center" wrapText="1"/>
    </x:xf>
    <x:xf numFmtId="0" fontId="13" fillId="27" borderId="9" xfId="0" applyNumberFormat="1" applyFont="1" applyFill="1" applyBorder="1" applyAlignment="1">
      <x:alignment horizontal="center" vertical="center" wrapText="1"/>
    </x:xf>
    <x:xf numFmtId="0" fontId="13" fillId="27" borderId="10" xfId="0" applyNumberFormat="1" applyFont="1" applyFill="1" applyBorder="1" applyAlignment="1">
      <x:alignment horizontal="center" vertical="center" wrapText="1"/>
    </x:xf>
    <x:xf numFmtId="208" fontId="13" fillId="27" borderId="5" xfId="0" applyNumberFormat="1" applyFont="1" applyFill="1" applyBorder="1" applyAlignment="1">
      <x:alignment horizontal="center" vertical="center" wrapText="1"/>
    </x:xf>
    <x:xf numFmtId="0" fontId="6" fillId="29" borderId="0" xfId="0" applyNumberFormat="1" applyFont="1" applyFill="1" applyBorder="1" applyAlignment="1">
      <x:alignment horizontal="right" vertical="center" wrapText="1"/>
    </x:xf>
    <x:xf numFmtId="0" fontId="2" fillId="29" borderId="0" xfId="0" applyNumberFormat="1" applyFont="1" applyFill="1" applyBorder="1" applyAlignment="1">
      <x:alignment horizontal="right" vertical="center" wrapText="1"/>
    </x:xf>
    <x:xf numFmtId="0" fontId="2" fillId="29" borderId="0" xfId="0" applyNumberFormat="1" applyFont="1" applyFill="1" applyBorder="1" applyAlignment="1">
      <x:alignment horizontal="center" vertical="center" wrapText="1"/>
    </x:xf>
    <x:xf numFmtId="0" fontId="15" fillId="27" borderId="0" xfId="0" applyNumberFormat="1" applyFont="1" applyFill="1" applyBorder="1" applyAlignment="1">
      <x:alignment horizontal="right" vertical="center" wrapText="1"/>
    </x:xf>
    <x:xf numFmtId="0" fontId="15" fillId="27" borderId="5" xfId="0" applyNumberFormat="1" applyFont="1" applyFill="1" applyBorder="1" applyAlignment="1">
      <x:alignment horizontal="right" vertical="center" wrapText="1"/>
    </x:xf>
    <x:xf numFmtId="0" fontId="15" fillId="27" borderId="6" xfId="0" applyNumberFormat="1" applyFont="1" applyFill="1" applyBorder="1" applyAlignment="1">
      <x:alignment horizontal="right" vertical="center" wrapText="1"/>
    </x:xf>
    <x:xf numFmtId="0" fontId="15" fillId="27" borderId="7" xfId="0" applyNumberFormat="1" applyFont="1" applyFill="1" applyBorder="1" applyAlignment="1">
      <x:alignment horizontal="right" vertical="center" wrapText="1"/>
    </x:xf>
    <x:xf numFmtId="0" fontId="15" fillId="27" borderId="8" xfId="0" applyNumberFormat="1" applyFont="1" applyFill="1" applyBorder="1" applyAlignment="1">
      <x:alignment horizontal="right" vertical="center" wrapText="1"/>
    </x:xf>
    <x:xf numFmtId="0" fontId="15" fillId="27" borderId="9" xfId="0" applyNumberFormat="1" applyFont="1" applyFill="1" applyBorder="1" applyAlignment="1">
      <x:alignment horizontal="right" vertical="center" wrapText="1"/>
    </x:xf>
    <x:xf numFmtId="0" fontId="15" fillId="27" borderId="10" xfId="0" applyNumberFormat="1" applyFont="1" applyFill="1" applyBorder="1" applyAlignment="1">
      <x:alignment horizontal="right" vertical="center" wrapText="1"/>
    </x:xf>
    <x:xf numFmtId="0" fontId="15" fillId="27" borderId="5" xfId="0" applyNumberFormat="1" applyFont="1" applyFill="1" applyBorder="1" applyAlignment="1">
      <x:alignment horizontal="center" vertical="center" wrapText="1"/>
    </x:xf>
    <x:xf numFmtId="0" fontId="15" fillId="27" borderId="6" xfId="0" applyNumberFormat="1" applyFont="1" applyFill="1" applyBorder="1" applyAlignment="1">
      <x:alignment horizontal="center" vertical="center" wrapText="1"/>
    </x:xf>
    <x:xf numFmtId="0" fontId="15" fillId="27" borderId="7" xfId="0" applyNumberFormat="1" applyFont="1" applyFill="1" applyBorder="1" applyAlignment="1">
      <x:alignment horizontal="center" vertical="center" wrapText="1"/>
    </x:xf>
    <x:xf numFmtId="0" fontId="15" fillId="27" borderId="8" xfId="0" applyNumberFormat="1" applyFont="1" applyFill="1" applyBorder="1" applyAlignment="1">
      <x:alignment horizontal="center" vertical="center" wrapText="1"/>
    </x:xf>
    <x:xf numFmtId="0" fontId="15" fillId="27" borderId="9" xfId="0" applyNumberFormat="1" applyFont="1" applyFill="1" applyBorder="1" applyAlignment="1">
      <x:alignment horizontal="center" vertical="center" wrapText="1"/>
    </x:xf>
    <x:xf numFmtId="0" fontId="15" fillId="27" borderId="10" xfId="0" applyNumberFormat="1" applyFont="1" applyFill="1" applyBorder="1" applyAlignment="1">
      <x:alignment horizontal="center" vertical="center" wrapText="1"/>
    </x:xf>
    <x:xf numFmtId="200" fontId="15" fillId="27" borderId="5" xfId="0" applyNumberFormat="1" applyFont="1" applyFill="1" applyBorder="1" applyAlignment="1">
      <x:alignment horizontal="center" vertical="center" wrapText="1"/>
    </x:xf>
    <x:xf numFmtId="0" fontId="6" fillId="30" borderId="0" xfId="0" applyNumberFormat="1" applyFont="1" applyFill="1" applyBorder="1" applyAlignment="1">
      <x:alignment horizontal="right" vertical="center" wrapText="1"/>
    </x:xf>
    <x:xf numFmtId="0" fontId="2" fillId="30" borderId="0" xfId="0" applyNumberFormat="1" applyFont="1" applyFill="1" applyBorder="1" applyAlignment="1">
      <x:alignment horizontal="right" vertical="center" wrapText="1"/>
    </x:xf>
    <x:xf numFmtId="0" fontId="2" fillId="30" borderId="0" xfId="0" applyNumberFormat="1" applyFont="1" applyFill="1" applyBorder="1" applyAlignment="1">
      <x:alignment horizontal="center" vertical="center" wrapText="1"/>
    </x:xf>
    <x:xf numFmtId="0" fontId="29" fillId="27" borderId="0" xfId="0" applyNumberFormat="1" applyFont="1" applyFill="1" applyBorder="1" applyAlignment="1">
      <x:alignment horizontal="right" vertical="center" wrapText="1"/>
    </x:xf>
    <x:xf numFmtId="0" fontId="29" fillId="27" borderId="5" xfId="0" applyNumberFormat="1" applyFont="1" applyFill="1" applyBorder="1" applyAlignment="1">
      <x:alignment horizontal="right" vertical="center" wrapText="1"/>
    </x:xf>
    <x:xf numFmtId="0" fontId="29" fillId="27" borderId="6" xfId="0" applyNumberFormat="1" applyFont="1" applyFill="1" applyBorder="1" applyAlignment="1">
      <x:alignment horizontal="right" vertical="center" wrapText="1"/>
    </x:xf>
    <x:xf numFmtId="0" fontId="29" fillId="27" borderId="7" xfId="0" applyNumberFormat="1" applyFont="1" applyFill="1" applyBorder="1" applyAlignment="1">
      <x:alignment horizontal="right" vertical="center" wrapText="1"/>
    </x:xf>
    <x:xf numFmtId="0" fontId="29" fillId="27" borderId="8" xfId="0" applyNumberFormat="1" applyFont="1" applyFill="1" applyBorder="1" applyAlignment="1">
      <x:alignment horizontal="right" vertical="center" wrapText="1"/>
    </x:xf>
    <x:xf numFmtId="0" fontId="29" fillId="27" borderId="9" xfId="0" applyNumberFormat="1" applyFont="1" applyFill="1" applyBorder="1" applyAlignment="1">
      <x:alignment horizontal="right" vertical="center" wrapText="1"/>
    </x:xf>
    <x:xf numFmtId="0" fontId="29" fillId="27" borderId="10" xfId="0" applyNumberFormat="1" applyFont="1" applyFill="1" applyBorder="1" applyAlignment="1">
      <x:alignment horizontal="right" vertical="center" wrapText="1"/>
    </x:xf>
    <x:xf numFmtId="0" fontId="29" fillId="27" borderId="5" xfId="0" applyNumberFormat="1" applyFont="1" applyFill="1" applyBorder="1" applyAlignment="1">
      <x:alignment horizontal="center" vertical="center" wrapText="1"/>
    </x:xf>
    <x:xf numFmtId="0" fontId="29" fillId="27" borderId="6" xfId="0" applyNumberFormat="1" applyFont="1" applyFill="1" applyBorder="1" applyAlignment="1">
      <x:alignment horizontal="center" vertical="center" wrapText="1"/>
    </x:xf>
    <x:xf numFmtId="0" fontId="29" fillId="27" borderId="7" xfId="0" applyNumberFormat="1" applyFont="1" applyFill="1" applyBorder="1" applyAlignment="1">
      <x:alignment horizontal="center" vertical="center" wrapText="1"/>
    </x:xf>
    <x:xf numFmtId="0" fontId="29" fillId="27" borderId="8" xfId="0" applyNumberFormat="1" applyFont="1" applyFill="1" applyBorder="1" applyAlignment="1">
      <x:alignment horizontal="center" vertical="center" wrapText="1"/>
    </x:xf>
    <x:xf numFmtId="0" fontId="29" fillId="27" borderId="9" xfId="0" applyNumberFormat="1" applyFont="1" applyFill="1" applyBorder="1" applyAlignment="1">
      <x:alignment horizontal="center" vertical="center" wrapText="1"/>
    </x:xf>
    <x:xf numFmtId="0" fontId="29" fillId="27" borderId="10" xfId="0" applyNumberFormat="1" applyFont="1" applyFill="1" applyBorder="1" applyAlignment="1">
      <x:alignment horizontal="center" vertical="center" wrapText="1"/>
    </x:xf>
    <x:xf numFmtId="208" fontId="29" fillId="27" borderId="5" xfId="0" applyNumberFormat="1" applyFont="1" applyFill="1" applyBorder="1" applyAlignment="1">
      <x:alignment horizontal="center" vertical="center" wrapText="1"/>
    </x:xf>
    <x:xf numFmtId="0" fontId="6" fillId="31" borderId="0" xfId="0" applyNumberFormat="1" applyFont="1" applyFill="1" applyBorder="1" applyAlignment="1">
      <x:alignment horizontal="right" vertical="center" wrapText="1"/>
    </x:xf>
    <x:xf numFmtId="0" fontId="2" fillId="31" borderId="0" xfId="0" applyNumberFormat="1" applyFont="1" applyFill="1" applyBorder="1" applyAlignment="1">
      <x:alignment horizontal="right" vertical="center" wrapText="1"/>
    </x:xf>
    <x:xf numFmtId="0" fontId="2" fillId="31" borderId="0" xfId="0" applyNumberFormat="1" applyFont="1" applyFill="1" applyBorder="1" applyAlignment="1">
      <x:alignment horizontal="center" vertical="center" wrapText="1"/>
    </x:xf>
    <x:xf numFmtId="0" fontId="30" fillId="27" borderId="0" xfId="0" applyNumberFormat="1" applyFont="1" applyFill="1" applyBorder="1" applyAlignment="1">
      <x:alignment horizontal="right" vertical="center" wrapText="1"/>
    </x:xf>
    <x:xf numFmtId="0" fontId="30" fillId="27" borderId="5" xfId="0" applyNumberFormat="1" applyFont="1" applyFill="1" applyBorder="1" applyAlignment="1">
      <x:alignment horizontal="right" vertical="center" wrapText="1"/>
    </x:xf>
    <x:xf numFmtId="0" fontId="30" fillId="27" borderId="6" xfId="0" applyNumberFormat="1" applyFont="1" applyFill="1" applyBorder="1" applyAlignment="1">
      <x:alignment horizontal="right" vertical="center" wrapText="1"/>
    </x:xf>
    <x:xf numFmtId="0" fontId="30" fillId="27" borderId="7" xfId="0" applyNumberFormat="1" applyFont="1" applyFill="1" applyBorder="1" applyAlignment="1">
      <x:alignment horizontal="right" vertical="center" wrapText="1"/>
    </x:xf>
    <x:xf numFmtId="0" fontId="30" fillId="27" borderId="8" xfId="0" applyNumberFormat="1" applyFont="1" applyFill="1" applyBorder="1" applyAlignment="1">
      <x:alignment horizontal="right" vertical="center" wrapText="1"/>
    </x:xf>
    <x:xf numFmtId="0" fontId="30" fillId="27" borderId="9" xfId="0" applyNumberFormat="1" applyFont="1" applyFill="1" applyBorder="1" applyAlignment="1">
      <x:alignment horizontal="right" vertical="center" wrapText="1"/>
    </x:xf>
    <x:xf numFmtId="0" fontId="30" fillId="27" borderId="10" xfId="0" applyNumberFormat="1" applyFont="1" applyFill="1" applyBorder="1" applyAlignment="1">
      <x:alignment horizontal="right" vertical="center" wrapText="1"/>
    </x:xf>
    <x:xf numFmtId="0" fontId="30" fillId="27" borderId="5" xfId="0" applyNumberFormat="1" applyFont="1" applyFill="1" applyBorder="1" applyAlignment="1">
      <x:alignment horizontal="center" vertical="center" wrapText="1"/>
    </x:xf>
    <x:xf numFmtId="0" fontId="30" fillId="27" borderId="6" xfId="0" applyNumberFormat="1" applyFont="1" applyFill="1" applyBorder="1" applyAlignment="1">
      <x:alignment horizontal="center" vertical="center" wrapText="1"/>
    </x:xf>
    <x:xf numFmtId="0" fontId="30" fillId="27" borderId="7" xfId="0" applyNumberFormat="1" applyFont="1" applyFill="1" applyBorder="1" applyAlignment="1">
      <x:alignment horizontal="center" vertical="center" wrapText="1"/>
    </x:xf>
    <x:xf numFmtId="0" fontId="30" fillId="27" borderId="8" xfId="0" applyNumberFormat="1" applyFont="1" applyFill="1" applyBorder="1" applyAlignment="1">
      <x:alignment horizontal="center" vertical="center" wrapText="1"/>
    </x:xf>
    <x:xf numFmtId="0" fontId="30" fillId="27" borderId="9" xfId="0" applyNumberFormat="1" applyFont="1" applyFill="1" applyBorder="1" applyAlignment="1">
      <x:alignment horizontal="center" vertical="center" wrapText="1"/>
    </x:xf>
    <x:xf numFmtId="0" fontId="30" fillId="27" borderId="10" xfId="0" applyNumberFormat="1" applyFont="1" applyFill="1" applyBorder="1" applyAlignment="1">
      <x:alignment horizontal="center" vertical="center" wrapText="1"/>
    </x:xf>
    <x:xf numFmtId="200" fontId="30" fillId="27" borderId="5" xfId="0" applyNumberFormat="1" applyFont="1" applyFill="1" applyBorder="1" applyAlignment="1">
      <x:alignment horizontal="center" vertical="center" wrapText="1"/>
    </x:xf>
    <x:xf numFmtId="0" fontId="31" fillId="27" borderId="0" xfId="0" applyNumberFormat="1" applyFont="1" applyFill="1" applyBorder="1" applyAlignment="1">
      <x:alignment horizontal="right" vertical="center" wrapText="1"/>
    </x:xf>
    <x:xf numFmtId="0" fontId="31" fillId="27" borderId="5" xfId="0" applyNumberFormat="1" applyFont="1" applyFill="1" applyBorder="1" applyAlignment="1">
      <x:alignment horizontal="right" vertical="center" wrapText="1"/>
    </x:xf>
    <x:xf numFmtId="0" fontId="31" fillId="27" borderId="6" xfId="0" applyNumberFormat="1" applyFont="1" applyFill="1" applyBorder="1" applyAlignment="1">
      <x:alignment horizontal="right" vertical="center" wrapText="1"/>
    </x:xf>
    <x:xf numFmtId="0" fontId="31" fillId="27" borderId="7" xfId="0" applyNumberFormat="1" applyFont="1" applyFill="1" applyBorder="1" applyAlignment="1">
      <x:alignment horizontal="right" vertical="center" wrapText="1"/>
    </x:xf>
    <x:xf numFmtId="0" fontId="31" fillId="27" borderId="8" xfId="0" applyNumberFormat="1" applyFont="1" applyFill="1" applyBorder="1" applyAlignment="1">
      <x:alignment horizontal="right" vertical="center" wrapText="1"/>
    </x:xf>
    <x:xf numFmtId="0" fontId="31" fillId="27" borderId="9" xfId="0" applyNumberFormat="1" applyFont="1" applyFill="1" applyBorder="1" applyAlignment="1">
      <x:alignment horizontal="right" vertical="center" wrapText="1"/>
    </x:xf>
    <x:xf numFmtId="0" fontId="31" fillId="27" borderId="10" xfId="0" applyNumberFormat="1" applyFont="1" applyFill="1" applyBorder="1" applyAlignment="1">
      <x:alignment horizontal="right" vertical="center" wrapText="1"/>
    </x:xf>
    <x:xf numFmtId="0" fontId="31" fillId="27" borderId="5" xfId="0" applyNumberFormat="1" applyFont="1" applyFill="1" applyBorder="1" applyAlignment="1">
      <x:alignment horizontal="center" vertical="center" wrapText="1"/>
    </x:xf>
    <x:xf numFmtId="0" fontId="31" fillId="27" borderId="6" xfId="0" applyNumberFormat="1" applyFont="1" applyFill="1" applyBorder="1" applyAlignment="1">
      <x:alignment horizontal="center" vertical="center" wrapText="1"/>
    </x:xf>
    <x:xf numFmtId="0" fontId="31" fillId="27" borderId="7" xfId="0" applyNumberFormat="1" applyFont="1" applyFill="1" applyBorder="1" applyAlignment="1">
      <x:alignment horizontal="center" vertical="center" wrapText="1"/>
    </x:xf>
    <x:xf numFmtId="0" fontId="31" fillId="27" borderId="8" xfId="0" applyNumberFormat="1" applyFont="1" applyFill="1" applyBorder="1" applyAlignment="1">
      <x:alignment horizontal="center" vertical="center" wrapText="1"/>
    </x:xf>
    <x:xf numFmtId="0" fontId="31" fillId="27" borderId="9" xfId="0" applyNumberFormat="1" applyFont="1" applyFill="1" applyBorder="1" applyAlignment="1">
      <x:alignment horizontal="center" vertical="center" wrapText="1"/>
    </x:xf>
    <x:xf numFmtId="0" fontId="31" fillId="27" borderId="10" xfId="0" applyNumberFormat="1" applyFont="1" applyFill="1" applyBorder="1" applyAlignment="1">
      <x:alignment horizontal="center" vertical="center" wrapText="1"/>
    </x:xf>
    <x:xf numFmtId="200" fontId="31" fillId="27" borderId="5" xfId="0" applyNumberFormat="1" applyFont="1" applyFill="1" applyBorder="1" applyAlignment="1">
      <x:alignment horizontal="center" vertical="center" wrapText="1"/>
    </x:xf>
    <x:xf numFmtId="0" fontId="16" fillId="24" borderId="0" xfId="0" applyNumberFormat="1" applyFont="1" applyFill="1" applyBorder="1" applyAlignment="1">
      <x:alignment horizontal="right" vertical="center" wrapText="1"/>
    </x:xf>
    <x:xf numFmtId="0" fontId="16" fillId="24" borderId="28" xfId="0" applyNumberFormat="1" applyFont="1" applyFill="1" applyBorder="1" applyAlignment="1">
      <x:alignment horizontal="right" vertical="center" wrapText="1"/>
    </x:xf>
    <x:xf numFmtId="0" fontId="16" fillId="24" borderId="29" xfId="0" applyNumberFormat="1" applyFont="1" applyFill="1" applyBorder="1" applyAlignment="1">
      <x:alignment horizontal="right" vertical="center" wrapText="1"/>
    </x:xf>
    <x:xf numFmtId="0" fontId="16" fillId="24" borderId="30" xfId="0" applyNumberFormat="1" applyFont="1" applyFill="1" applyBorder="1" applyAlignment="1">
      <x:alignment horizontal="right" vertical="center" wrapText="1"/>
    </x:xf>
    <x:xf numFmtId="0" fontId="16" fillId="24" borderId="28" xfId="0" applyNumberFormat="1" applyFont="1" applyFill="1" applyBorder="1" applyAlignment="1">
      <x:alignment horizontal="center" vertical="center" wrapText="1"/>
    </x:xf>
    <x:xf numFmtId="0" fontId="16" fillId="24" borderId="29" xfId="0" applyNumberFormat="1" applyFont="1" applyFill="1" applyBorder="1" applyAlignment="1">
      <x:alignment horizontal="center" vertical="center" wrapText="1"/>
    </x:xf>
    <x:xf numFmtId="0" fontId="16" fillId="24" borderId="30" xfId="0" applyNumberFormat="1" applyFont="1" applyFill="1" applyBorder="1" applyAlignment="1">
      <x:alignment horizontal="center" vertical="center" wrapText="1"/>
    </x:xf>
    <x:xf numFmtId="0" fontId="6" fillId="27" borderId="5" xfId="0" applyNumberFormat="1" applyFont="1" applyFill="1" applyBorder="1" applyAlignment="1">
      <x:alignment horizontal="right" vertical="center" wrapText="1"/>
    </x:xf>
    <x:xf numFmtId="0" fontId="6" fillId="27" borderId="6" xfId="0" applyNumberFormat="1" applyFont="1" applyFill="1" applyBorder="1" applyAlignment="1">
      <x:alignment horizontal="right" vertical="center" wrapText="1"/>
    </x:xf>
    <x:xf numFmtId="0" fontId="6" fillId="27" borderId="7" xfId="0" applyNumberFormat="1" applyFont="1" applyFill="1" applyBorder="1" applyAlignment="1">
      <x:alignment horizontal="right" vertical="center" wrapText="1"/>
    </x:xf>
    <x:xf numFmtId="0" fontId="6" fillId="27" borderId="23" xfId="0" applyNumberFormat="1" applyFont="1" applyFill="1" applyBorder="1" applyAlignment="1">
      <x:alignment horizontal="right" vertical="center" wrapText="1"/>
    </x:xf>
    <x:xf numFmtId="0" fontId="6" fillId="27" xfId="0" applyNumberFormat="1" applyFont="1" applyFill="1" applyBorder="0" applyAlignment="1">
      <x:alignment horizontal="right" vertical="center" wrapText="1"/>
    </x:xf>
    <x:xf numFmtId="0" fontId="6" fillId="27" borderId="24" xfId="0" applyNumberFormat="1" applyFont="1" applyFill="1" applyBorder="1" applyAlignment="1">
      <x:alignment horizontal="right" vertical="center" wrapText="1"/>
    </x:xf>
    <x:xf numFmtId="0" fontId="6" fillId="27" borderId="8" xfId="0" applyNumberFormat="1" applyFont="1" applyFill="1" applyBorder="1" applyAlignment="1">
      <x:alignment horizontal="right" vertical="center" wrapText="1"/>
    </x:xf>
    <x:xf numFmtId="0" fontId="6" fillId="27" borderId="9" xfId="0" applyNumberFormat="1" applyFont="1" applyFill="1" applyBorder="1" applyAlignment="1">
      <x:alignment horizontal="right" vertical="center" wrapText="1"/>
    </x:xf>
    <x:xf numFmtId="0" fontId="6" fillId="27" borderId="10" xfId="0" applyNumberFormat="1" applyFont="1" applyFill="1" applyBorder="1" applyAlignment="1">
      <x:alignment horizontal="right" vertical="center" wrapText="1"/>
    </x:xf>
    <x:xf numFmtId="0" fontId="6" fillId="32" borderId="23" xfId="0" applyNumberFormat="1" applyFont="1" applyFill="1" applyBorder="1" applyAlignment="1">
      <x:alignment horizontal="right" vertical="center" wrapText="1"/>
    </x:xf>
    <x:xf numFmtId="0" fontId="6" fillId="32" xfId="0" applyNumberFormat="1" applyFont="1" applyFill="1" applyBorder="0" applyAlignment="1">
      <x:alignment horizontal="right" vertical="center" wrapText="1"/>
    </x:xf>
    <x:xf numFmtId="0" fontId="6" fillId="32" borderId="24" xfId="0" applyNumberFormat="1" applyFont="1" applyFill="1" applyBorder="1" applyAlignment="1">
      <x:alignment horizontal="right" vertical="center" wrapText="1"/>
    </x:xf>
    <x:xf numFmtId="0" fontId="6" fillId="33" borderId="6" xfId="0" applyNumberFormat="1" applyFont="1" applyFill="1" applyBorder="1" applyAlignment="1">
      <x:alignment horizontal="right" vertical="center" wrapText="1"/>
    </x:xf>
    <x:xf numFmtId="0" fontId="6" fillId="33" xfId="0" applyNumberFormat="1" applyFont="1" applyFill="1" applyBorder="0" applyAlignment="1">
      <x:alignment horizontal="right" vertical="center" wrapText="1"/>
    </x:xf>
    <x:xf numFmtId="0" fontId="6" fillId="33" borderId="9" xfId="0" applyNumberFormat="1" applyFont="1" applyFill="1" applyBorder="1" applyAlignment="1">
      <x:alignment horizontal="right" vertical="center" wrapText="1"/>
    </x:xf>
    <x:xf numFmtId="0" fontId="26" fillId="33" borderId="6" xfId="0" applyNumberFormat="1" applyFont="1" applyFill="1" applyBorder="1" applyAlignment="1">
      <x:alignment horizontal="right" vertical="center" wrapText="1"/>
    </x:xf>
    <x:xf numFmtId="0" fontId="26" fillId="33" xfId="0" applyNumberFormat="1" applyFont="1" applyFill="1" applyBorder="0" applyAlignment="1">
      <x:alignment horizontal="right" vertical="center" wrapText="1"/>
    </x:xf>
    <x:xf numFmtId="0" fontId="26" fillId="33" borderId="9" xfId="0" applyNumberFormat="1" applyFont="1" applyFill="1" applyBorder="1" applyAlignment="1">
      <x:alignment horizontal="right" vertical="center" wrapText="1"/>
    </x:xf>
    <x:xf numFmtId="0" fontId="26" fillId="33" borderId="47" xfId="0" applyNumberFormat="1" applyFont="1" applyFill="1" applyBorder="1" applyAlignment="1">
      <x:alignment horizontal="right" vertical="center" wrapText="1"/>
    </x:xf>
    <x:xf numFmtId="0" fontId="26" fillId="33" borderId="48" xfId="0" applyNumberFormat="1" applyFont="1" applyFill="1" applyBorder="1" applyAlignment="1">
      <x:alignment horizontal="right" vertical="center" wrapText="1"/>
    </x:xf>
    <x:xf numFmtId="0" fontId="26" fillId="33" borderId="49" xfId="0" applyNumberFormat="1" applyFont="1" applyFill="1" applyBorder="1" applyAlignment="1">
      <x:alignment horizontal="right" vertical="center" wrapText="1"/>
    </x:xf>
    <x:xf numFmtId="0" fontId="26" fillId="33" borderId="47" xfId="0" applyNumberFormat="1" applyFont="1" applyFill="1" applyBorder="1" applyAlignment="1">
      <x:alignment horizontal="center" vertical="center" wrapText="1"/>
    </x:xf>
    <x:xf numFmtId="0" fontId="26" fillId="33" borderId="48" xfId="0" applyNumberFormat="1" applyFont="1" applyFill="1" applyBorder="1" applyAlignment="1">
      <x:alignment horizontal="center" vertical="center" wrapText="1"/>
    </x:xf>
    <x:xf numFmtId="0" fontId="26" fillId="33" borderId="49" xfId="0" applyNumberFormat="1" applyFont="1" applyFill="1" applyBorder="1" applyAlignment="1">
      <x:alignment horizontal="center" vertical="center" wrapText="1"/>
    </x:xf>
    <x:xf numFmtId="0" fontId="6" fillId="34" borderId="6" xfId="0" applyNumberFormat="1" applyFont="1" applyFill="1" applyBorder="1" applyAlignment="1">
      <x:alignment horizontal="right" vertical="center" wrapText="1"/>
    </x:xf>
    <x:xf numFmtId="0" fontId="6" fillId="34" xfId="0" applyNumberFormat="1" applyFont="1" applyFill="1" applyBorder="0" applyAlignment="1">
      <x:alignment horizontal="right" vertical="center" wrapText="1"/>
    </x:xf>
    <x:xf numFmtId="0" fontId="6" fillId="34" borderId="9" xfId="0" applyNumberFormat="1" applyFont="1" applyFill="1" applyBorder="1" applyAlignment="1">
      <x:alignment horizontal="right" vertical="center" wrapText="1"/>
    </x:xf>
    <x:xf numFmtId="0" fontId="17" fillId="34" borderId="6" xfId="0" applyNumberFormat="1" applyFont="1" applyFill="1" applyBorder="1" applyAlignment="1">
      <x:alignment horizontal="right" vertical="center" wrapText="1"/>
    </x:xf>
    <x:xf numFmtId="0" fontId="17" fillId="34" xfId="0" applyNumberFormat="1" applyFont="1" applyFill="1" applyBorder="0" applyAlignment="1">
      <x:alignment horizontal="right" vertical="center" wrapText="1"/>
    </x:xf>
    <x:xf numFmtId="0" fontId="17" fillId="34" borderId="9" xfId="0" applyNumberFormat="1" applyFont="1" applyFill="1" applyBorder="1" applyAlignment="1">
      <x:alignment horizontal="right" vertical="center" wrapText="1"/>
    </x:xf>
    <x:xf numFmtId="0" fontId="17" fillId="34" borderId="50" xfId="0" applyNumberFormat="1" applyFont="1" applyFill="1" applyBorder="1" applyAlignment="1">
      <x:alignment horizontal="right" vertical="center" wrapText="1"/>
    </x:xf>
    <x:xf numFmtId="0" fontId="17" fillId="34" borderId="51" xfId="0" applyNumberFormat="1" applyFont="1" applyFill="1" applyBorder="1" applyAlignment="1">
      <x:alignment horizontal="right" vertical="center" wrapText="1"/>
    </x:xf>
    <x:xf numFmtId="0" fontId="17" fillId="34" borderId="52" xfId="0" applyNumberFormat="1" applyFont="1" applyFill="1" applyBorder="1" applyAlignment="1">
      <x:alignment horizontal="right" vertical="center" wrapText="1"/>
    </x:xf>
    <x:xf numFmtId="0" fontId="17" fillId="34" borderId="50" xfId="0" applyNumberFormat="1" applyFont="1" applyFill="1" applyBorder="1" applyAlignment="1">
      <x:alignment horizontal="center" vertical="center" wrapText="1"/>
    </x:xf>
    <x:xf numFmtId="0" fontId="17" fillId="34" borderId="51" xfId="0" applyNumberFormat="1" applyFont="1" applyFill="1" applyBorder="1" applyAlignment="1">
      <x:alignment horizontal="center" vertical="center" wrapText="1"/>
    </x:xf>
    <x:xf numFmtId="0" fontId="17" fillId="34" borderId="52" xfId="0" applyNumberFormat="1" applyFont="1" applyFill="1" applyBorder="1" applyAlignment="1">
      <x:alignment horizontal="center" vertical="center" wrapText="1"/>
    </x:xf>
    <x:xf numFmtId="0" fontId="6" fillId="35" borderId="6" xfId="0" applyNumberFormat="1" applyFont="1" applyFill="1" applyBorder="1" applyAlignment="1">
      <x:alignment horizontal="right" vertical="center" wrapText="1"/>
    </x:xf>
    <x:xf numFmtId="0" fontId="6" fillId="35" xfId="0" applyNumberFormat="1" applyFont="1" applyFill="1" applyBorder="0" applyAlignment="1">
      <x:alignment horizontal="right" vertical="center" wrapText="1"/>
    </x:xf>
    <x:xf numFmtId="0" fontId="6" fillId="35" borderId="9" xfId="0" applyNumberFormat="1" applyFont="1" applyFill="1" applyBorder="1" applyAlignment="1">
      <x:alignment horizontal="right" vertical="center" wrapText="1"/>
    </x:xf>
    <x:xf numFmtId="208" fontId="6" fillId="27" borderId="6" xfId="0" applyNumberFormat="1" applyFont="1" applyFill="1" applyBorder="1" applyAlignment="1">
      <x:alignment horizontal="right" vertical="center" wrapText="1"/>
    </x:xf>
    <x:xf numFmtId="208" fontId="6" fillId="32" xfId="0" applyNumberFormat="1" applyFont="1" applyFill="1" applyBorder="0" applyAlignment="1">
      <x:alignment horizontal="right" vertical="center" wrapText="1"/>
    </x:xf>
    <x:xf numFmtId="208" fontId="6" fillId="27" xfId="0" applyNumberFormat="1" applyFont="1" applyFill="1" applyBorder="0" applyAlignment="1">
      <x:alignment horizontal="right" vertical="center" wrapText="1"/>
    </x:xf>
    <x:xf numFmtId="208" fontId="6" fillId="27" borderId="9" xfId="0" applyNumberFormat="1" applyFont="1" applyFill="1" applyBorder="1" applyAlignment="1">
      <x:alignment horizontal="right" vertical="center" wrapText="1"/>
    </x:xf>
    <x:xf numFmtId="208" fontId="6" fillId="35" borderId="6" xfId="0" applyNumberFormat="1" applyFont="1" applyFill="1" applyBorder="1" applyAlignment="1">
      <x:alignment horizontal="right" vertical="center" wrapText="1"/>
    </x:xf>
    <x:xf numFmtId="208" fontId="6" fillId="35" xfId="0" applyNumberFormat="1" applyFont="1" applyFill="1" applyBorder="0" applyAlignment="1">
      <x:alignment horizontal="right" vertical="center" wrapText="1"/>
    </x:xf>
    <x:xf numFmtId="208" fontId="6" fillId="35" borderId="9" xfId="0" applyNumberFormat="1" applyFont="1" applyFill="1" applyBorder="1" applyAlignment="1">
      <x:alignment horizontal="right" vertical="center" wrapText="1"/>
    </x:xf>
    <x:xf numFmtId="208" fontId="26" fillId="33" borderId="47" xfId="0" applyNumberFormat="1" applyFont="1" applyFill="1" applyBorder="1" applyAlignment="1">
      <x:alignment horizontal="center" vertical="center" wrapText="1"/>
    </x:xf>
    <x:xf numFmtId="208" fontId="26" fillId="33" borderId="48" xfId="0" applyNumberFormat="1" applyFont="1" applyFill="1" applyBorder="1" applyAlignment="1">
      <x:alignment horizontal="center" vertical="center" wrapText="1"/>
    </x:xf>
    <x:xf numFmtId="208" fontId="26" fillId="33" borderId="49" xfId="0" applyNumberFormat="1" applyFont="1" applyFill="1" applyBorder="1" applyAlignment="1">
      <x:alignment horizontal="center" vertical="center" wrapText="1"/>
    </x:xf>
    <x:xf numFmtId="200" fontId="17" fillId="34" borderId="50" xfId="0" applyNumberFormat="1" applyFont="1" applyFill="1" applyBorder="1" applyAlignment="1">
      <x:alignment horizontal="center" vertical="center" wrapText="1"/>
    </x:xf>
    <x:xf numFmtId="200" fontId="17" fillId="34" borderId="51" xfId="0" applyNumberFormat="1" applyFont="1" applyFill="1" applyBorder="1" applyAlignment="1">
      <x:alignment horizontal="center" vertical="center" wrapText="1"/>
    </x:xf>
    <x:xf numFmtId="200" fontId="17" fillId="34" borderId="52" xfId="0" applyNumberFormat="1" applyFont="1" applyFill="1" applyBorder="1" applyAlignment="1">
      <x:alignment horizontal="center" vertical="center" wrapText="1"/>
    </x:xf>
    <x:xf numFmtId="202" fontId="6" fillId="23" borderId="0" xfId="0" applyNumberFormat="1" applyFont="1" applyFill="1" applyBorder="1" applyAlignment="1">
      <x:alignment horizontal="right" vertical="center" wrapText="1"/>
    </x:xf>
    <x:xf numFmtId="0" fontId="6" fillId="27" borderId="5" xfId="0" applyNumberFormat="1" applyFont="1" applyFill="1" applyBorder="1" applyAlignment="1">
      <x:alignment horizontal="center" vertical="center" wrapText="1"/>
    </x:xf>
    <x:xf numFmtId="0" fontId="6" fillId="27" borderId="7" xfId="0" applyNumberFormat="1" applyFont="1" applyFill="1" applyBorder="1" applyAlignment="1">
      <x:alignment horizontal="center" vertical="center" wrapText="1"/>
    </x:xf>
    <x:xf numFmtId="0" fontId="6" fillId="27" borderId="23" xfId="0" applyNumberFormat="1" applyFont="1" applyFill="1" applyBorder="1" applyAlignment="1">
      <x:alignment horizontal="center" vertical="center" wrapText="1"/>
    </x:xf>
    <x:xf numFmtId="0" fontId="6" fillId="27" borderId="24" xfId="0" applyNumberFormat="1" applyFont="1" applyFill="1" applyBorder="1" applyAlignment="1">
      <x:alignment horizontal="center" vertical="center" wrapText="1"/>
    </x:xf>
    <x:xf numFmtId="0" fontId="6" fillId="27" borderId="8" xfId="0" applyNumberFormat="1" applyFont="1" applyFill="1" applyBorder="1" applyAlignment="1">
      <x:alignment horizontal="center" vertical="center" wrapText="1"/>
    </x:xf>
    <x:xf numFmtId="0" fontId="6" fillId="27" borderId="10" xfId="0" applyNumberFormat="1" applyFont="1" applyFill="1" applyBorder="1" applyAlignment="1">
      <x:alignment horizontal="center" vertical="center" wrapText="1"/>
    </x:xf>
    <x:xf numFmtId="0" fontId="6" fillId="24" borderId="5" xfId="0" applyNumberFormat="1" applyFont="1" applyFill="1" applyBorder="1" applyAlignment="1">
      <x:alignment horizontal="center" vertical="center" wrapText="1"/>
    </x:xf>
    <x:xf numFmtId="0" fontId="6" fillId="24" borderId="7" xfId="0" applyNumberFormat="1" applyFont="1" applyFill="1" applyBorder="1" applyAlignment="1">
      <x:alignment horizontal="center" vertical="center" wrapText="1"/>
    </x:xf>
    <x:xf numFmtId="0" fontId="16" fillId="24" borderId="5" xfId="0" applyNumberFormat="1" applyFont="1" applyFill="1" applyBorder="1" applyAlignment="1">
      <x:alignment horizontal="center" vertical="center" wrapText="1"/>
    </x:xf>
    <x:xf numFmtId="0" fontId="16" fillId="24" borderId="7" xfId="0" applyNumberFormat="1" applyFont="1" applyFill="1" applyBorder="1" applyAlignment="1">
      <x:alignment horizontal="center" vertical="center" wrapText="1"/>
    </x:xf>
    <x:xf numFmtId="203" fontId="13" fillId="27" borderId="5" xfId="0" applyNumberFormat="1" applyFont="1" applyFill="1" applyBorder="1" applyAlignment="1">
      <x:alignment horizontal="center" vertical="center" wrapText="1"/>
    </x:xf>
    <x:xf numFmtId="207" fontId="29" fillId="27" borderId="5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 applyAlignment="1">
      <x:alignment horizontal="right" vertical="center" wrapText="1"/>
    </x:xf>
    <x:xf numFmtId="0" fontId="2" fillId="36" borderId="0" xfId="0" applyNumberFormat="1" applyFont="1" applyFill="1" applyBorder="1" applyAlignment="1">
      <x:alignment horizontal="right" vertic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32" fillId="27" borderId="0" xfId="0" applyNumberFormat="1" applyFont="1" applyFill="1" applyBorder="1" applyAlignment="1">
      <x:alignment horizontal="right" vertical="center" wrapText="1"/>
    </x:xf>
    <x:xf numFmtId="0" fontId="32" fillId="27" borderId="5" xfId="0" applyNumberFormat="1" applyFont="1" applyFill="1" applyBorder="1" applyAlignment="1">
      <x:alignment horizontal="right" vertical="center" wrapText="1"/>
    </x:xf>
    <x:xf numFmtId="0" fontId="32" fillId="27" borderId="6" xfId="0" applyNumberFormat="1" applyFont="1" applyFill="1" applyBorder="1" applyAlignment="1">
      <x:alignment horizontal="right" vertical="center" wrapText="1"/>
    </x:xf>
    <x:xf numFmtId="0" fontId="32" fillId="27" borderId="7" xfId="0" applyNumberFormat="1" applyFont="1" applyFill="1" applyBorder="1" applyAlignment="1">
      <x:alignment horizontal="right" vertical="center" wrapText="1"/>
    </x:xf>
    <x:xf numFmtId="0" fontId="32" fillId="27" borderId="8" xfId="0" applyNumberFormat="1" applyFont="1" applyFill="1" applyBorder="1" applyAlignment="1">
      <x:alignment horizontal="right" vertical="center" wrapText="1"/>
    </x:xf>
    <x:xf numFmtId="0" fontId="32" fillId="27" borderId="9" xfId="0" applyNumberFormat="1" applyFont="1" applyFill="1" applyBorder="1" applyAlignment="1">
      <x:alignment horizontal="right" vertical="center" wrapText="1"/>
    </x:xf>
    <x:xf numFmtId="0" fontId="32" fillId="27" borderId="10" xfId="0" applyNumberFormat="1" applyFont="1" applyFill="1" applyBorder="1" applyAlignment="1">
      <x:alignment horizontal="right" vertical="center" wrapText="1"/>
    </x:xf>
    <x:xf numFmtId="0" fontId="32" fillId="27" borderId="5" xfId="0" applyNumberFormat="1" applyFont="1" applyFill="1" applyBorder="1" applyAlignment="1">
      <x:alignment horizontal="center" vertical="center" wrapText="1"/>
    </x:xf>
    <x:xf numFmtId="0" fontId="32" fillId="27" borderId="6" xfId="0" applyNumberFormat="1" applyFont="1" applyFill="1" applyBorder="1" applyAlignment="1">
      <x:alignment horizontal="center" vertical="center" wrapText="1"/>
    </x:xf>
    <x:xf numFmtId="0" fontId="32" fillId="27" borderId="7" xfId="0" applyNumberFormat="1" applyFont="1" applyFill="1" applyBorder="1" applyAlignment="1">
      <x:alignment horizontal="center" vertical="center" wrapText="1"/>
    </x:xf>
    <x:xf numFmtId="0" fontId="32" fillId="27" borderId="8" xfId="0" applyNumberFormat="1" applyFont="1" applyFill="1" applyBorder="1" applyAlignment="1">
      <x:alignment horizontal="center" vertical="center" wrapText="1"/>
    </x:xf>
    <x:xf numFmtId="0" fontId="32" fillId="27" borderId="9" xfId="0" applyNumberFormat="1" applyFont="1" applyFill="1" applyBorder="1" applyAlignment="1">
      <x:alignment horizontal="center" vertical="center" wrapText="1"/>
    </x:xf>
    <x:xf numFmtId="0" fontId="32" fillId="27" borderId="10" xfId="0" applyNumberFormat="1" applyFont="1" applyFill="1" applyBorder="1" applyAlignment="1">
      <x:alignment horizontal="center" vertical="center" wrapText="1"/>
    </x:xf>
    <x:xf numFmtId="208" fontId="32" fillId="27" borderId="5" xfId="0" applyNumberFormat="1" applyFont="1" applyFill="1" applyBorder="1" applyAlignment="1">
      <x:alignment horizontal="center" vertical="center" wrapText="1"/>
    </x:xf>
    <x:xf numFmtId="0" fontId="6" fillId="27" borderId="6" xfId="0" applyNumberFormat="1" applyFont="1" applyFill="1" applyBorder="1" applyAlignment="1">
      <x:alignment horizontal="center" vertical="center" wrapText="1"/>
    </x:xf>
    <x:xf numFmtId="0" fontId="6" fillId="27" xfId="0" applyNumberFormat="1" applyFont="1" applyFill="1" applyBorder="0" applyAlignment="1">
      <x:alignment horizontal="center" vertical="center" wrapText="1"/>
    </x:xf>
    <x:xf numFmtId="0" fontId="6" fillId="27" borderId="9" xfId="0" applyNumberFormat="1" applyFont="1" applyFill="1" applyBorder="1" applyAlignment="1">
      <x:alignment horizontal="center" vertical="center" wrapText="1"/>
    </x:xf>
    <x:xf numFmtId="0" fontId="6" fillId="32" borderId="23" xfId="0" applyNumberFormat="1" applyFont="1" applyFill="1" applyBorder="1" applyAlignment="1">
      <x:alignment horizontal="center"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2" borderId="24" xfId="0" applyNumberFormat="1" applyFont="1" applyFill="1" applyBorder="1" applyAlignment="1">
      <x:alignment horizontal="center" vertical="center" wrapText="1"/>
    </x:xf>
    <x:xf numFmtId="0" fontId="6" fillId="32" borderId="8" xfId="0" applyNumberFormat="1" applyFont="1" applyFill="1" applyBorder="1" applyAlignment="1">
      <x:alignment horizontal="center" vertical="center" wrapText="1"/>
    </x:xf>
    <x:xf numFmtId="0" fontId="6" fillId="32" borderId="9" xfId="0" applyNumberFormat="1" applyFont="1" applyFill="1" applyBorder="1" applyAlignment="1">
      <x:alignment horizontal="center" vertical="center" wrapText="1"/>
    </x:xf>
    <x:xf numFmtId="0" fontId="6" fillId="32" borderId="10" xfId="0" applyNumberFormat="1" applyFont="1" applyFill="1" applyBorder="1" applyAlignment="1">
      <x:alignment horizontal="center" vertical="center" wrapText="1"/>
    </x:xf>
    <x:xf numFmtId="0" fontId="6" fillId="33" borderId="7" xfId="0" applyNumberFormat="1" applyFont="1" applyFill="1" applyBorder="1" applyAlignment="1">
      <x:alignment horizontal="center" vertical="center" wrapText="1"/>
    </x:xf>
    <x:xf numFmtId="0" fontId="6" fillId="33" borderId="24" xfId="0" applyNumberFormat="1" applyFont="1" applyFill="1" applyBorder="1" applyAlignment="1">
      <x:alignment horizontal="center" vertical="center" wrapText="1"/>
    </x:xf>
    <x:xf numFmtId="0" fontId="6" fillId="33" borderId="10" xfId="0" applyNumberFormat="1" applyFont="1" applyFill="1" applyBorder="1" applyAlignment="1">
      <x:alignment horizontal="center" vertical="center" wrapText="1"/>
    </x:xf>
    <x:xf numFmtId="0" fontId="26" fillId="33" borderId="7" xfId="0" applyNumberFormat="1" applyFont="1" applyFill="1" applyBorder="1" applyAlignment="1">
      <x:alignment horizontal="center" vertical="center" wrapText="1"/>
    </x:xf>
    <x:xf numFmtId="0" fontId="26" fillId="33" borderId="24" xfId="0" applyNumberFormat="1" applyFont="1" applyFill="1" applyBorder="1" applyAlignment="1">
      <x:alignment horizontal="center" vertical="center" wrapText="1"/>
    </x:xf>
    <x:xf numFmtId="0" fontId="26" fillId="33" borderId="10" xfId="0" applyNumberFormat="1" applyFont="1" applyFill="1" applyBorder="1" applyAlignment="1">
      <x:alignment horizontal="center" vertical="center" wrapText="1"/>
    </x:xf>
    <x:xf numFmtId="200" fontId="6" fillId="27" borderId="6" xfId="0" applyNumberFormat="1" applyFont="1" applyFill="1" applyBorder="1" applyAlignment="1">
      <x:alignment horizontal="center" vertical="center" wrapText="1"/>
    </x:xf>
    <x:xf numFmtId="200" fontId="6" fillId="32" xfId="0" applyNumberFormat="1" applyFont="1" applyFill="1" applyBorder="0" applyAlignment="1">
      <x:alignment horizontal="center" vertical="center" wrapText="1"/>
    </x:xf>
    <x:xf numFmtId="200" fontId="6" fillId="27" xfId="0" applyNumberFormat="1" applyFont="1" applyFill="1" applyBorder="0" applyAlignment="1">
      <x:alignment horizontal="center" vertical="center" wrapText="1"/>
    </x:xf>
    <x:xf numFmtId="200" fontId="6" fillId="32" borderId="9" xfId="0" applyNumberFormat="1" applyFont="1" applyFill="1" applyBorder="1" applyAlignment="1">
      <x:alignment horizontal="center" vertical="center" wrapText="1"/>
    </x:xf>
    <x:xf numFmtId="208" fontId="6" fillId="27" borderId="5" xfId="0" applyNumberFormat="1" applyFont="1" applyFill="1" applyBorder="1" applyAlignment="1">
      <x:alignment horizontal="center" vertical="center" wrapText="1"/>
    </x:xf>
    <x:xf numFmtId="208" fontId="6" fillId="32" borderId="23" xfId="0" applyNumberFormat="1" applyFont="1" applyFill="1" applyBorder="1" applyAlignment="1">
      <x:alignment horizontal="center" vertical="center" wrapText="1"/>
    </x:xf>
    <x:xf numFmtId="208" fontId="6" fillId="27" borderId="23" xfId="0" applyNumberFormat="1" applyFont="1" applyFill="1" applyBorder="1" applyAlignment="1">
      <x:alignment horizontal="center" vertical="center" wrapText="1"/>
    </x:xf>
    <x:xf numFmtId="208" fontId="6" fillId="32" borderId="8" xfId="0" applyNumberFormat="1" applyFont="1" applyFill="1" applyBorder="1" applyAlignment="1">
      <x:alignment horizontal="center" vertical="center" wrapText="1"/>
    </x:xf>
    <x:xf numFmtId="208" fontId="6" fillId="27" borderId="6" xfId="0" applyNumberFormat="1" applyFont="1" applyFill="1" applyBorder="1" applyAlignment="1">
      <x:alignment horizontal="center" vertical="center" wrapText="1"/>
    </x:xf>
    <x:xf numFmtId="208" fontId="6" fillId="32" xfId="0" applyNumberFormat="1" applyFont="1" applyFill="1" applyBorder="0" applyAlignment="1">
      <x:alignment horizontal="center" vertical="center" wrapText="1"/>
    </x:xf>
    <x:xf numFmtId="208" fontId="6" fillId="27" xfId="0" applyNumberFormat="1" applyFont="1" applyFill="1" applyBorder="0" applyAlignment="1">
      <x:alignment horizontal="center" vertical="center" wrapText="1"/>
    </x:xf>
    <x:xf numFmtId="208" fontId="6" fillId="32" borderId="9" xfId="0" applyNumberFormat="1" applyFont="1" applyFill="1" applyBorder="1" applyAlignment="1">
      <x:alignment horizontal="center" vertical="center" wrapText="1"/>
    </x:xf>
    <x:xf numFmtId="207" fontId="6" fillId="27" borderId="6" xfId="0" applyNumberFormat="1" applyFont="1" applyFill="1" applyBorder="1" applyAlignment="1">
      <x:alignment horizontal="center" vertical="center" wrapText="1"/>
    </x:xf>
    <x:xf numFmtId="207" fontId="6" fillId="32" xfId="0" applyNumberFormat="1" applyFont="1" applyFill="1" applyBorder="0" applyAlignment="1">
      <x:alignment horizontal="center" vertical="center" wrapText="1"/>
    </x:xf>
    <x:xf numFmtId="207" fontId="6" fillId="27" xfId="0" applyNumberFormat="1" applyFont="1" applyFill="1" applyBorder="0" applyAlignment="1">
      <x:alignment horizontal="center" vertical="center" wrapText="1"/>
    </x:xf>
    <x:xf numFmtId="207" fontId="6" fillId="32" borderId="9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4" fillId="9" borderId="0" xfId="0" applyNumberFormat="1" applyFont="1" applyFill="1" applyBorder="1" applyAlignment="1">
      <x:alignment horizontal="right" vertical="center" wrapText="1"/>
    </x:xf>
    <x:xf numFmtId="0" fontId="14" fillId="9" borderId="5" xfId="0" applyNumberFormat="1" applyFont="1" applyFill="1" applyBorder="1" applyAlignment="1">
      <x:alignment horizontal="right" vertical="center" wrapText="1"/>
    </x:xf>
    <x:xf numFmtId="0" fontId="14" fillId="9" borderId="6" xfId="0" applyNumberFormat="1" applyFont="1" applyFill="1" applyBorder="1" applyAlignment="1">
      <x:alignment horizontal="right" vertical="center" wrapText="1"/>
    </x:xf>
    <x:xf numFmtId="0" fontId="14" fillId="9" borderId="7" xfId="0" applyNumberFormat="1" applyFont="1" applyFill="1" applyBorder="1" applyAlignment="1">
      <x:alignment horizontal="right" vertical="center" wrapText="1"/>
    </x:xf>
    <x:xf numFmtId="0" fontId="14" fillId="9" borderId="8" xfId="0" applyNumberFormat="1" applyFont="1" applyFill="1" applyBorder="1" applyAlignment="1">
      <x:alignment horizontal="right" vertical="center" wrapText="1"/>
    </x:xf>
    <x:xf numFmtId="0" fontId="14" fillId="9" borderId="9" xfId="0" applyNumberFormat="1" applyFont="1" applyFill="1" applyBorder="1" applyAlignment="1">
      <x:alignment horizontal="right" vertical="center" wrapText="1"/>
    </x:xf>
    <x:xf numFmtId="0" fontId="14" fillId="9" borderId="10" xfId="0" applyNumberFormat="1" applyFont="1" applyFill="1" applyBorder="1" applyAlignment="1">
      <x:alignment horizontal="right" vertical="center" wrapText="1"/>
    </x:xf>
    <x:xf numFmtId="0" fontId="14" fillId="9" borderId="5" xfId="0" applyNumberFormat="1" applyFont="1" applyFill="1" applyBorder="1" applyAlignment="1">
      <x:alignment horizontal="center" vertical="center" wrapText="1"/>
    </x:xf>
    <x:xf numFmtId="0" fontId="14" fillId="9" borderId="6" xfId="0" applyNumberFormat="1" applyFont="1" applyFill="1" applyBorder="1" applyAlignment="1">
      <x:alignment horizontal="center" vertical="center" wrapText="1"/>
    </x:xf>
    <x:xf numFmtId="0" fontId="14" fillId="9" borderId="7" xfId="0" applyNumberFormat="1" applyFont="1" applyFill="1" applyBorder="1" applyAlignment="1">
      <x:alignment horizontal="center" vertical="center" wrapText="1"/>
    </x:xf>
    <x:xf numFmtId="0" fontId="14" fillId="9" borderId="8" xfId="0" applyNumberFormat="1" applyFont="1" applyFill="1" applyBorder="1" applyAlignment="1">
      <x:alignment horizontal="center" vertical="center" wrapText="1"/>
    </x:xf>
    <x:xf numFmtId="0" fontId="14" fillId="9" borderId="9" xfId="0" applyNumberFormat="1" applyFont="1" applyFill="1" applyBorder="1" applyAlignment="1">
      <x:alignment horizontal="center" vertical="center" wrapText="1"/>
    </x:xf>
    <x:xf numFmtId="0" fontId="14" fillId="9" borderId="10" xfId="0" applyNumberFormat="1" applyFont="1" applyFill="1" applyBorder="1" applyAlignment="1">
      <x:alignment horizontal="center" vertical="center" wrapText="1"/>
    </x:xf>
    <x:xf numFmtId="208" fontId="14" fillId="9" borderId="5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right" vertical="center" wrapText="1"/>
    </x:xf>
    <x:xf numFmtId="0" fontId="13" fillId="9" borderId="5" xfId="0" applyNumberFormat="1" applyFont="1" applyFill="1" applyBorder="1" applyAlignment="1">
      <x:alignment horizontal="right" vertical="center" wrapText="1"/>
    </x:xf>
    <x:xf numFmtId="0" fontId="13" fillId="9" borderId="6" xfId="0" applyNumberFormat="1" applyFont="1" applyFill="1" applyBorder="1" applyAlignment="1">
      <x:alignment horizontal="right" vertical="center" wrapText="1"/>
    </x:xf>
    <x:xf numFmtId="0" fontId="13" fillId="9" borderId="7" xfId="0" applyNumberFormat="1" applyFont="1" applyFill="1" applyBorder="1" applyAlignment="1">
      <x:alignment horizontal="right" vertical="center" wrapText="1"/>
    </x:xf>
    <x:xf numFmtId="0" fontId="13" fillId="9" borderId="8" xfId="0" applyNumberFormat="1" applyFont="1" applyFill="1" applyBorder="1" applyAlignment="1">
      <x:alignment horizontal="right" vertical="center" wrapText="1"/>
    </x:xf>
    <x:xf numFmtId="0" fontId="13" fillId="9" borderId="9" xfId="0" applyNumberFormat="1" applyFont="1" applyFill="1" applyBorder="1" applyAlignment="1">
      <x:alignment horizontal="right" vertical="center" wrapText="1"/>
    </x:xf>
    <x:xf numFmtId="0" fontId="13" fillId="9" borderId="10" xfId="0" applyNumberFormat="1" applyFont="1" applyFill="1" applyBorder="1" applyAlignment="1">
      <x:alignment horizontal="right" vertical="center" wrapText="1"/>
    </x:xf>
    <x:xf numFmtId="0" fontId="13" fillId="9" borderId="5" xfId="0" applyNumberFormat="1" applyFont="1" applyFill="1" applyBorder="1" applyAlignment="1">
      <x:alignment horizontal="center" vertical="center" wrapText="1"/>
    </x:xf>
    <x:xf numFmtId="0" fontId="13" fillId="9" borderId="6" xfId="0" applyNumberFormat="1" applyFont="1" applyFill="1" applyBorder="1" applyAlignment="1">
      <x:alignment horizontal="center" vertical="center" wrapText="1"/>
    </x:xf>
    <x:xf numFmtId="0" fontId="13" fillId="9" borderId="7" xfId="0" applyNumberFormat="1" applyFont="1" applyFill="1" applyBorder="1" applyAlignment="1">
      <x:alignment horizontal="center" vertical="center" wrapText="1"/>
    </x:xf>
    <x:xf numFmtId="0" fontId="13" fillId="9" borderId="8" xfId="0" applyNumberFormat="1" applyFont="1" applyFill="1" applyBorder="1" applyAlignment="1">
      <x:alignment horizontal="center" vertical="center" wrapText="1"/>
    </x:xf>
    <x:xf numFmtId="0" fontId="13" fillId="9" borderId="9" xfId="0" applyNumberFormat="1" applyFont="1" applyFill="1" applyBorder="1" applyAlignment="1">
      <x:alignment horizontal="center" vertical="center" wrapText="1"/>
    </x:xf>
    <x:xf numFmtId="0" fontId="13" fillId="9" borderId="10" xfId="0" applyNumberFormat="1" applyFont="1" applyFill="1" applyBorder="1" applyAlignment="1">
      <x:alignment horizontal="center" vertical="center" wrapText="1"/>
    </x:xf>
    <x:xf numFmtId="208" fontId="13" fillId="9" borderId="5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horizontal="right" vertical="center" wrapText="1"/>
    </x:xf>
    <x:xf numFmtId="0" fontId="15" fillId="9" borderId="5" xfId="0" applyNumberFormat="1" applyFont="1" applyFill="1" applyBorder="1" applyAlignment="1">
      <x:alignment horizontal="right" vertical="center" wrapText="1"/>
    </x:xf>
    <x:xf numFmtId="0" fontId="15" fillId="9" borderId="6" xfId="0" applyNumberFormat="1" applyFont="1" applyFill="1" applyBorder="1" applyAlignment="1">
      <x:alignment horizontal="right" vertical="center" wrapText="1"/>
    </x:xf>
    <x:xf numFmtId="0" fontId="15" fillId="9" borderId="7" xfId="0" applyNumberFormat="1" applyFont="1" applyFill="1" applyBorder="1" applyAlignment="1">
      <x:alignment horizontal="right" vertical="center" wrapText="1"/>
    </x:xf>
    <x:xf numFmtId="0" fontId="15" fillId="9" borderId="8" xfId="0" applyNumberFormat="1" applyFont="1" applyFill="1" applyBorder="1" applyAlignment="1">
      <x:alignment horizontal="right" vertical="center" wrapText="1"/>
    </x:xf>
    <x:xf numFmtId="0" fontId="15" fillId="9" borderId="9" xfId="0" applyNumberFormat="1" applyFont="1" applyFill="1" applyBorder="1" applyAlignment="1">
      <x:alignment horizontal="right" vertical="center" wrapText="1"/>
    </x:xf>
    <x:xf numFmtId="0" fontId="15" fillId="9" borderId="10" xfId="0" applyNumberFormat="1" applyFont="1" applyFill="1" applyBorder="1" applyAlignment="1">
      <x:alignment horizontal="right" vertical="center" wrapText="1"/>
    </x:xf>
    <x:xf numFmtId="0" fontId="15" fillId="9" borderId="5" xfId="0" applyNumberFormat="1" applyFont="1" applyFill="1" applyBorder="1" applyAlignment="1">
      <x:alignment horizontal="center" vertical="center" wrapText="1"/>
    </x:xf>
    <x:xf numFmtId="0" fontId="15" fillId="9" borderId="6" xfId="0" applyNumberFormat="1" applyFont="1" applyFill="1" applyBorder="1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15" fillId="9" borderId="8" xfId="0" applyNumberFormat="1" applyFont="1" applyFill="1" applyBorder="1" applyAlignment="1">
      <x:alignment horizontal="center" vertical="center" wrapText="1"/>
    </x:xf>
    <x:xf numFmtId="0" fontId="15" fillId="9" borderId="9" xfId="0" applyNumberFormat="1" applyFont="1" applyFill="1" applyBorder="1" applyAlignment="1">
      <x:alignment horizontal="center" vertical="center" wrapText="1"/>
    </x:xf>
    <x:xf numFmtId="0" fontId="15" fillId="9" borderId="10" xfId="0" applyNumberFormat="1" applyFont="1" applyFill="1" applyBorder="1" applyAlignment="1">
      <x:alignment horizontal="center" vertical="center" wrapText="1"/>
    </x:xf>
    <x:xf numFmtId="200" fontId="15" fillId="9" borderId="5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9" fillId="9" borderId="0" xfId="0" applyNumberFormat="1" applyFont="1" applyFill="1" applyBorder="1" applyAlignment="1">
      <x:alignment horizontal="right" vertical="center" wrapText="1"/>
    </x:xf>
    <x:xf numFmtId="0" fontId="29" fillId="9" borderId="5" xfId="0" applyNumberFormat="1" applyFont="1" applyFill="1" applyBorder="1" applyAlignment="1">
      <x:alignment horizontal="right" vertical="center" wrapText="1"/>
    </x:xf>
    <x:xf numFmtId="0" fontId="29" fillId="9" borderId="6" xfId="0" applyNumberFormat="1" applyFont="1" applyFill="1" applyBorder="1" applyAlignment="1">
      <x:alignment horizontal="right" vertical="center" wrapText="1"/>
    </x:xf>
    <x:xf numFmtId="0" fontId="29" fillId="9" borderId="7" xfId="0" applyNumberFormat="1" applyFont="1" applyFill="1" applyBorder="1" applyAlignment="1">
      <x:alignment horizontal="right" vertical="center" wrapText="1"/>
    </x:xf>
    <x:xf numFmtId="0" fontId="29" fillId="9" borderId="8" xfId="0" applyNumberFormat="1" applyFont="1" applyFill="1" applyBorder="1" applyAlignment="1">
      <x:alignment horizontal="right" vertical="center" wrapText="1"/>
    </x:xf>
    <x:xf numFmtId="0" fontId="29" fillId="9" borderId="9" xfId="0" applyNumberFormat="1" applyFont="1" applyFill="1" applyBorder="1" applyAlignment="1">
      <x:alignment horizontal="right" vertical="center" wrapText="1"/>
    </x:xf>
    <x:xf numFmtId="0" fontId="29" fillId="9" borderId="10" xfId="0" applyNumberFormat="1" applyFont="1" applyFill="1" applyBorder="1" applyAlignment="1">
      <x:alignment horizontal="right" vertical="center" wrapText="1"/>
    </x:xf>
    <x:xf numFmtId="0" fontId="29" fillId="9" borderId="5" xfId="0" applyNumberFormat="1" applyFont="1" applyFill="1" applyBorder="1" applyAlignment="1">
      <x:alignment horizontal="center" vertical="center" wrapText="1"/>
    </x:xf>
    <x:xf numFmtId="0" fontId="29" fillId="9" borderId="6" xfId="0" applyNumberFormat="1" applyFont="1" applyFill="1" applyBorder="1" applyAlignment="1">
      <x:alignment horizontal="center" vertical="center" wrapText="1"/>
    </x:xf>
    <x:xf numFmtId="0" fontId="29" fillId="9" borderId="7" xfId="0" applyNumberFormat="1" applyFont="1" applyFill="1" applyBorder="1" applyAlignment="1">
      <x:alignment horizontal="center" vertical="center" wrapText="1"/>
    </x:xf>
    <x:xf numFmtId="0" fontId="29" fillId="9" borderId="8" xfId="0" applyNumberFormat="1" applyFont="1" applyFill="1" applyBorder="1" applyAlignment="1">
      <x:alignment horizontal="center" vertical="center" wrapText="1"/>
    </x:xf>
    <x:xf numFmtId="0" fontId="29" fillId="9" borderId="9" xfId="0" applyNumberFormat="1" applyFont="1" applyFill="1" applyBorder="1" applyAlignment="1">
      <x:alignment horizontal="center" vertical="center" wrapText="1"/>
    </x:xf>
    <x:xf numFmtId="0" fontId="29" fillId="9" borderId="10" xfId="0" applyNumberFormat="1" applyFont="1" applyFill="1" applyBorder="1" applyAlignment="1">
      <x:alignment horizontal="center" vertical="center" wrapText="1"/>
    </x:xf>
    <x:xf numFmtId="208" fontId="29" fillId="9" borderId="5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30" fillId="9" borderId="0" xfId="0" applyNumberFormat="1" applyFont="1" applyFill="1" applyBorder="1" applyAlignment="1">
      <x:alignment horizontal="right" vertical="center" wrapText="1"/>
    </x:xf>
    <x:xf numFmtId="0" fontId="30" fillId="9" borderId="5" xfId="0" applyNumberFormat="1" applyFont="1" applyFill="1" applyBorder="1" applyAlignment="1">
      <x:alignment horizontal="right" vertical="center" wrapText="1"/>
    </x:xf>
    <x:xf numFmtId="0" fontId="30" fillId="9" borderId="6" xfId="0" applyNumberFormat="1" applyFont="1" applyFill="1" applyBorder="1" applyAlignment="1">
      <x:alignment horizontal="right" vertical="center" wrapText="1"/>
    </x:xf>
    <x:xf numFmtId="0" fontId="30" fillId="9" borderId="7" xfId="0" applyNumberFormat="1" applyFont="1" applyFill="1" applyBorder="1" applyAlignment="1">
      <x:alignment horizontal="right" vertical="center" wrapText="1"/>
    </x:xf>
    <x:xf numFmtId="0" fontId="30" fillId="9" borderId="8" xfId="0" applyNumberFormat="1" applyFont="1" applyFill="1" applyBorder="1" applyAlignment="1">
      <x:alignment horizontal="right" vertical="center" wrapText="1"/>
    </x:xf>
    <x:xf numFmtId="0" fontId="30" fillId="9" borderId="9" xfId="0" applyNumberFormat="1" applyFont="1" applyFill="1" applyBorder="1" applyAlignment="1">
      <x:alignment horizontal="right" vertical="center" wrapText="1"/>
    </x:xf>
    <x:xf numFmtId="0" fontId="30" fillId="9" borderId="10" xfId="0" applyNumberFormat="1" applyFont="1" applyFill="1" applyBorder="1" applyAlignment="1">
      <x:alignment horizontal="right" vertical="center" wrapText="1"/>
    </x:xf>
    <x:xf numFmtId="0" fontId="30" fillId="9" borderId="5" xfId="0" applyNumberFormat="1" applyFont="1" applyFill="1" applyBorder="1" applyAlignment="1">
      <x:alignment horizontal="center" vertical="center" wrapText="1"/>
    </x:xf>
    <x:xf numFmtId="0" fontId="30" fillId="9" borderId="6" xfId="0" applyNumberFormat="1" applyFont="1" applyFill="1" applyBorder="1" applyAlignment="1">
      <x:alignment horizontal="center" vertical="center" wrapText="1"/>
    </x:xf>
    <x:xf numFmtId="0" fontId="30" fillId="9" borderId="7" xfId="0" applyNumberFormat="1" applyFont="1" applyFill="1" applyBorder="1" applyAlignment="1">
      <x:alignment horizontal="center" vertical="center" wrapText="1"/>
    </x:xf>
    <x:xf numFmtId="0" fontId="30" fillId="9" borderId="8" xfId="0" applyNumberFormat="1" applyFont="1" applyFill="1" applyBorder="1" applyAlignment="1">
      <x:alignment horizontal="center" vertical="center" wrapText="1"/>
    </x:xf>
    <x:xf numFmtId="0" fontId="30" fillId="9" borderId="9" xfId="0" applyNumberFormat="1" applyFont="1" applyFill="1" applyBorder="1" applyAlignment="1">
      <x:alignment horizontal="center" vertical="center" wrapText="1"/>
    </x:xf>
    <x:xf numFmtId="0" fontId="30" fillId="9" borderId="10" xfId="0" applyNumberFormat="1" applyFont="1" applyFill="1" applyBorder="1" applyAlignment="1">
      <x:alignment horizontal="center" vertical="center" wrapText="1"/>
    </x:xf>
    <x:xf numFmtId="200" fontId="30" fillId="9" borderId="5" xfId="0" applyNumberFormat="1" applyFont="1" applyFill="1" applyBorder="1" applyAlignment="1">
      <x:alignment horizontal="center" vertical="center" wrapText="1"/>
    </x:xf>
    <x:xf numFmtId="0" fontId="31" fillId="9" borderId="0" xfId="0" applyNumberFormat="1" applyFont="1" applyFill="1" applyBorder="1" applyAlignment="1">
      <x:alignment horizontal="right" vertical="center" wrapText="1"/>
    </x:xf>
    <x:xf numFmtId="0" fontId="31" fillId="9" borderId="5" xfId="0" applyNumberFormat="1" applyFont="1" applyFill="1" applyBorder="1" applyAlignment="1">
      <x:alignment horizontal="right" vertical="center" wrapText="1"/>
    </x:xf>
    <x:xf numFmtId="0" fontId="31" fillId="9" borderId="6" xfId="0" applyNumberFormat="1" applyFont="1" applyFill="1" applyBorder="1" applyAlignment="1">
      <x:alignment horizontal="right" vertical="center" wrapText="1"/>
    </x:xf>
    <x:xf numFmtId="0" fontId="31" fillId="9" borderId="7" xfId="0" applyNumberFormat="1" applyFont="1" applyFill="1" applyBorder="1" applyAlignment="1">
      <x:alignment horizontal="right" vertical="center" wrapText="1"/>
    </x:xf>
    <x:xf numFmtId="0" fontId="31" fillId="9" borderId="8" xfId="0" applyNumberFormat="1" applyFont="1" applyFill="1" applyBorder="1" applyAlignment="1">
      <x:alignment horizontal="right" vertical="center" wrapText="1"/>
    </x:xf>
    <x:xf numFmtId="0" fontId="31" fillId="9" borderId="9" xfId="0" applyNumberFormat="1" applyFont="1" applyFill="1" applyBorder="1" applyAlignment="1">
      <x:alignment horizontal="right" vertical="center" wrapText="1"/>
    </x:xf>
    <x:xf numFmtId="0" fontId="31" fillId="9" borderId="10" xfId="0" applyNumberFormat="1" applyFont="1" applyFill="1" applyBorder="1" applyAlignment="1">
      <x:alignment horizontal="right" vertical="center" wrapText="1"/>
    </x:xf>
    <x:xf numFmtId="0" fontId="31" fillId="9" borderId="5" xfId="0" applyNumberFormat="1" applyFont="1" applyFill="1" applyBorder="1" applyAlignment="1">
      <x:alignment horizontal="center" vertical="center" wrapText="1"/>
    </x:xf>
    <x:xf numFmtId="0" fontId="31" fillId="9" borderId="6" xfId="0" applyNumberFormat="1" applyFont="1" applyFill="1" applyBorder="1" applyAlignment="1">
      <x:alignment horizontal="center" vertical="center" wrapText="1"/>
    </x:xf>
    <x:xf numFmtId="0" fontId="31" fillId="9" borderId="7" xfId="0" applyNumberFormat="1" applyFont="1" applyFill="1" applyBorder="1" applyAlignment="1">
      <x:alignment horizontal="center" vertical="center" wrapText="1"/>
    </x:xf>
    <x:xf numFmtId="0" fontId="31" fillId="9" borderId="8" xfId="0" applyNumberFormat="1" applyFont="1" applyFill="1" applyBorder="1" applyAlignment="1">
      <x:alignment horizontal="center" vertical="center" wrapText="1"/>
    </x:xf>
    <x:xf numFmtId="0" fontId="31" fillId="9" borderId="9" xfId="0" applyNumberFormat="1" applyFont="1" applyFill="1" applyBorder="1" applyAlignment="1">
      <x:alignment horizontal="center" vertical="center" wrapText="1"/>
    </x:xf>
    <x:xf numFmtId="0" fontId="31" fillId="9" borderId="10" xfId="0" applyNumberFormat="1" applyFont="1" applyFill="1" applyBorder="1" applyAlignment="1">
      <x:alignment horizontal="center" vertical="center" wrapText="1"/>
    </x:xf>
    <x:xf numFmtId="200" fontId="31" fillId="9" borderId="5" xfId="0" applyNumberFormat="1" applyFont="1" applyFill="1" applyBorder="1" applyAlignment="1">
      <x:alignment horizontal="center" vertical="center" wrapText="1"/>
    </x:xf>
    <x:xf numFmtId="0" fontId="16" fillId="6" borderId="28" xfId="0" applyNumberFormat="1" applyFont="1" applyFill="1" applyBorder="1" applyAlignment="1">
      <x:alignment horizontal="right" vertical="center" wrapText="1"/>
    </x:xf>
    <x:xf numFmtId="0" fontId="16" fillId="6" borderId="29" xfId="0" applyNumberFormat="1" applyFont="1" applyFill="1" applyBorder="1" applyAlignment="1">
      <x:alignment horizontal="right" vertical="center" wrapText="1"/>
    </x:xf>
    <x:xf numFmtId="0" fontId="16" fillId="6" borderId="30" xfId="0" applyNumberFormat="1" applyFont="1" applyFill="1" applyBorder="1" applyAlignment="1">
      <x:alignment horizontal="right" vertical="center" wrapText="1"/>
    </x:xf>
    <x:xf numFmtId="0" fontId="6" fillId="19" borderId="6" xfId="0" applyNumberFormat="1" applyFont="1" applyFill="1" applyBorder="1" applyAlignment="1">
      <x:alignment horizontal="right" vertical="center" wrapText="1"/>
    </x:xf>
    <x:xf numFmtId="0" fontId="26" fillId="19" borderId="6" xfId="0" applyNumberFormat="1" applyFont="1" applyFill="1" applyBorder="1" applyAlignment="1">
      <x:alignment horizontal="right" vertical="center" wrapText="1"/>
    </x:xf>
    <x:xf numFmtId="0" fontId="26" fillId="19" borderId="47" xfId="0" applyNumberFormat="1" applyFont="1" applyFill="1" applyBorder="1" applyAlignment="1">
      <x:alignment horizontal="right" vertical="center" wrapText="1"/>
    </x:xf>
    <x:xf numFmtId="0" fontId="26" fillId="19" borderId="48" xfId="0" applyNumberFormat="1" applyFont="1" applyFill="1" applyBorder="1" applyAlignment="1">
      <x:alignment horizontal="right" vertical="center" wrapText="1"/>
    </x:xf>
    <x:xf numFmtId="0" fontId="26" fillId="19" borderId="49" xfId="0" applyNumberFormat="1" applyFont="1" applyFill="1" applyBorder="1" applyAlignment="1">
      <x:alignment horizontal="right" vertical="center" wrapText="1"/>
    </x:xf>
    <x:xf numFmtId="0" fontId="26" fillId="19" borderId="47" xfId="0" applyNumberFormat="1" applyFont="1" applyFill="1" applyBorder="1" applyAlignment="1">
      <x:alignment horizontal="center" vertical="center" wrapText="1"/>
    </x:xf>
    <x:xf numFmtId="0" fontId="26" fillId="19" borderId="48" xfId="0" applyNumberFormat="1" applyFont="1" applyFill="1" applyBorder="1" applyAlignment="1">
      <x:alignment horizontal="center" vertical="center" wrapText="1"/>
    </x:xf>
    <x:xf numFmtId="0" fontId="26" fillId="19" borderId="49" xfId="0" applyNumberFormat="1" applyFont="1" applyFill="1" applyBorder="1" applyAlignment="1">
      <x:alignment horizontal="center" vertical="center" wrapText="1"/>
    </x:xf>
    <x:xf numFmtId="0" fontId="17" fillId="14" borderId="50" xfId="0" applyNumberFormat="1" applyFont="1" applyFill="1" applyBorder="1" applyAlignment="1">
      <x:alignment horizontal="right" vertical="center" wrapText="1"/>
    </x:xf>
    <x:xf numFmtId="0" fontId="17" fillId="14" borderId="51" xfId="0" applyNumberFormat="1" applyFont="1" applyFill="1" applyBorder="1" applyAlignment="1">
      <x:alignment horizontal="right" vertical="center" wrapText="1"/>
    </x:xf>
    <x:xf numFmtId="0" fontId="17" fillId="14" borderId="52" xfId="0" applyNumberFormat="1" applyFont="1" applyFill="1" applyBorder="1" applyAlignment="1">
      <x:alignment horizontal="right" vertical="center" wrapText="1"/>
    </x:xf>
    <x:xf numFmtId="0" fontId="17" fillId="14" borderId="50" xfId="0" applyNumberFormat="1" applyFont="1" applyFill="1" applyBorder="1" applyAlignment="1">
      <x:alignment horizontal="center" vertical="center" wrapText="1"/>
    </x:xf>
    <x:xf numFmtId="0" fontId="17" fillId="14" borderId="51" xfId="0" applyNumberFormat="1" applyFont="1" applyFill="1" applyBorder="1" applyAlignment="1">
      <x:alignment horizontal="center" vertical="center" wrapText="1"/>
    </x:xf>
    <x:xf numFmtId="0" fontId="17" fillId="14" borderId="52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right" vertical="center" wrapText="1"/>
    </x:xf>
    <x:xf numFmtId="0" fontId="6" fillId="15" xfId="0" applyNumberFormat="1" applyFont="1" applyFill="1" applyBorder="0" applyAlignment="1">
      <x:alignment horizontal="right" vertical="center" wrapText="1"/>
    </x:xf>
    <x:xf numFmtId="0" fontId="6" fillId="15" borderId="9" xfId="0" applyNumberFormat="1" applyFont="1" applyFill="1" applyBorder="1" applyAlignment="1">
      <x:alignment horizontal="right" vertical="center" wrapText="1"/>
    </x:xf>
    <x:xf numFmtId="208" fontId="6" fillId="9" borderId="6" xfId="0" applyNumberFormat="1" applyFont="1" applyFill="1" applyBorder="1" applyAlignment="1">
      <x:alignment horizontal="right" vertical="center" wrapText="1"/>
    </x:xf>
    <x:xf numFmtId="208" fontId="6" fillId="15" borderId="6" xfId="0" applyNumberFormat="1" applyFont="1" applyFill="1" applyBorder="1" applyAlignment="1">
      <x:alignment horizontal="right" vertical="center" wrapText="1"/>
    </x:xf>
    <x:xf numFmtId="208" fontId="6" fillId="15" xfId="0" applyNumberFormat="1" applyFont="1" applyFill="1" applyBorder="0" applyAlignment="1">
      <x:alignment horizontal="right" vertical="center" wrapText="1"/>
    </x:xf>
    <x:xf numFmtId="208" fontId="6" fillId="15" borderId="9" xfId="0" applyNumberFormat="1" applyFont="1" applyFill="1" applyBorder="1" applyAlignment="1">
      <x:alignment horizontal="right" vertical="center" wrapText="1"/>
    </x:xf>
    <x:xf numFmtId="208" fontId="26" fillId="19" borderId="47" xfId="0" applyNumberFormat="1" applyFont="1" applyFill="1" applyBorder="1" applyAlignment="1">
      <x:alignment horizontal="center" vertical="center" wrapText="1"/>
    </x:xf>
    <x:xf numFmtId="208" fontId="26" fillId="19" borderId="48" xfId="0" applyNumberFormat="1" applyFont="1" applyFill="1" applyBorder="1" applyAlignment="1">
      <x:alignment horizontal="center" vertical="center" wrapText="1"/>
    </x:xf>
    <x:xf numFmtId="208" fontId="26" fillId="19" borderId="49" xfId="0" applyNumberFormat="1" applyFont="1" applyFill="1" applyBorder="1" applyAlignment="1">
      <x:alignment horizontal="center" vertical="center" wrapText="1"/>
    </x:xf>
    <x:xf numFmtId="200" fontId="17" fillId="14" borderId="50" xfId="0" applyNumberFormat="1" applyFont="1" applyFill="1" applyBorder="1" applyAlignment="1">
      <x:alignment horizontal="center" vertical="center" wrapText="1"/>
    </x:xf>
    <x:xf numFmtId="200" fontId="17" fillId="14" borderId="51" xfId="0" applyNumberFormat="1" applyFont="1" applyFill="1" applyBorder="1" applyAlignment="1">
      <x:alignment horizontal="center" vertical="center" wrapText="1"/>
    </x:xf>
    <x:xf numFmtId="200" fontId="17" fillId="14" borderId="52" xfId="0" applyNumberFormat="1" applyFont="1" applyFill="1" applyBorder="1" applyAlignment="1">
      <x:alignment horizontal="center" vertical="center" wrapText="1"/>
    </x:xf>
    <x:xf numFmtId="202" fontId="6" fillId="5" borderId="0" xfId="0" applyNumberFormat="1" applyFont="1" applyFill="1" applyBorder="1" applyAlignment="1">
      <x:alignment horizontal="right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203" fontId="13" fillId="9" borderId="5" xfId="0" applyNumberFormat="1" applyFont="1" applyFill="1" applyBorder="1" applyAlignment="1">
      <x:alignment horizontal="center" vertical="center" wrapText="1"/>
    </x:xf>
    <x:xf numFmtId="207" fontId="29" fillId="9" borderId="5" xfId="0" applyNumberFormat="1" applyFont="1" applyFill="1" applyBorder="1" applyAlignment="1">
      <x:alignment horizontal="center" vertical="center" wrapText="1"/>
    </x:xf>
    <x:xf numFmtId="0" fontId="32" fillId="9" borderId="0" xfId="0" applyNumberFormat="1" applyFont="1" applyFill="1" applyBorder="1" applyAlignment="1">
      <x:alignment horizontal="right" vertical="center" wrapText="1"/>
    </x:xf>
    <x:xf numFmtId="0" fontId="32" fillId="9" borderId="5" xfId="0" applyNumberFormat="1" applyFont="1" applyFill="1" applyBorder="1" applyAlignment="1">
      <x:alignment horizontal="right" vertical="center" wrapText="1"/>
    </x:xf>
    <x:xf numFmtId="0" fontId="32" fillId="9" borderId="6" xfId="0" applyNumberFormat="1" applyFont="1" applyFill="1" applyBorder="1" applyAlignment="1">
      <x:alignment horizontal="right" vertical="center" wrapText="1"/>
    </x:xf>
    <x:xf numFmtId="0" fontId="32" fillId="9" borderId="7" xfId="0" applyNumberFormat="1" applyFont="1" applyFill="1" applyBorder="1" applyAlignment="1">
      <x:alignment horizontal="right" vertical="center" wrapText="1"/>
    </x:xf>
    <x:xf numFmtId="0" fontId="32" fillId="9" borderId="8" xfId="0" applyNumberFormat="1" applyFont="1" applyFill="1" applyBorder="1" applyAlignment="1">
      <x:alignment horizontal="right" vertical="center" wrapText="1"/>
    </x:xf>
    <x:xf numFmtId="0" fontId="32" fillId="9" borderId="9" xfId="0" applyNumberFormat="1" applyFont="1" applyFill="1" applyBorder="1" applyAlignment="1">
      <x:alignment horizontal="right" vertical="center" wrapText="1"/>
    </x:xf>
    <x:xf numFmtId="0" fontId="32" fillId="9" borderId="10" xfId="0" applyNumberFormat="1" applyFont="1" applyFill="1" applyBorder="1" applyAlignment="1">
      <x:alignment horizontal="right" vertical="center" wrapText="1"/>
    </x:xf>
    <x:xf numFmtId="0" fontId="32" fillId="9" borderId="5" xfId="0" applyNumberFormat="1" applyFont="1" applyFill="1" applyBorder="1" applyAlignment="1">
      <x:alignment horizontal="center" vertical="center" wrapText="1"/>
    </x:xf>
    <x:xf numFmtId="0" fontId="32" fillId="9" borderId="6" xfId="0" applyNumberFormat="1" applyFont="1" applyFill="1" applyBorder="1" applyAlignment="1">
      <x:alignment horizontal="center" vertical="center" wrapText="1"/>
    </x:xf>
    <x:xf numFmtId="0" fontId="32" fillId="9" borderId="7" xfId="0" applyNumberFormat="1" applyFont="1" applyFill="1" applyBorder="1" applyAlignment="1">
      <x:alignment horizontal="center" vertical="center" wrapText="1"/>
    </x:xf>
    <x:xf numFmtId="0" fontId="32" fillId="9" borderId="8" xfId="0" applyNumberFormat="1" applyFont="1" applyFill="1" applyBorder="1" applyAlignment="1">
      <x:alignment horizontal="center" vertical="center" wrapText="1"/>
    </x:xf>
    <x:xf numFmtId="0" fontId="32" fillId="9" borderId="9" xfId="0" applyNumberFormat="1" applyFont="1" applyFill="1" applyBorder="1" applyAlignment="1">
      <x:alignment horizontal="center" vertical="center" wrapText="1"/>
    </x:xf>
    <x:xf numFmtId="0" fontId="32" fillId="9" borderId="10" xfId="0" applyNumberFormat="1" applyFont="1" applyFill="1" applyBorder="1" applyAlignment="1">
      <x:alignment horizontal="center" vertical="center" wrapText="1"/>
    </x:xf>
    <x:xf numFmtId="208" fontId="32" fillId="9" borderId="5" xfId="0" applyNumberFormat="1" applyFont="1" applyFill="1" applyBorder="1" applyAlignment="1">
      <x:alignment horizontal="center" vertical="center" wrapText="1"/>
    </x:xf>
    <x:xf numFmtId="0" fontId="6" fillId="20" borderId="23" xfId="0" applyNumberFormat="1" applyFont="1" applyFill="1" applyBorder="1" applyAlignment="1">
      <x:alignment horizontal="center" vertical="center" wrapText="1"/>
    </x:xf>
    <x:xf numFmtId="0" fontId="6" fillId="20" borderId="24" xfId="0" applyNumberFormat="1" applyFont="1" applyFill="1" applyBorder="1" applyAlignment="1">
      <x:alignment horizontal="center" vertical="center" wrapText="1"/>
    </x:xf>
    <x:xf numFmtId="0" fontId="6" fillId="20" borderId="8" xfId="0" applyNumberFormat="1" applyFont="1" applyFill="1" applyBorder="1" applyAlignment="1">
      <x:alignment horizontal="center" vertical="center" wrapText="1"/>
    </x:xf>
    <x:xf numFmtId="0" fontId="6" fillId="20" borderId="10" xfId="0" applyNumberFormat="1" applyFont="1" applyFill="1" applyBorder="1" applyAlignment="1">
      <x:alignment horizontal="center" vertical="center" wrapText="1"/>
    </x:xf>
    <x:xf numFmtId="0" fontId="6" fillId="19" borderId="7" xfId="0" applyNumberFormat="1" applyFont="1" applyFill="1" applyBorder="1" applyAlignment="1">
      <x:alignment horizontal="center" vertical="center" wrapText="1"/>
    </x:xf>
    <x:xf numFmtId="0" fontId="6" fillId="19" borderId="24" xfId="0" applyNumberFormat="1" applyFont="1" applyFill="1" applyBorder="1" applyAlignment="1">
      <x:alignment horizontal="center" vertical="center" wrapText="1"/>
    </x:xf>
    <x:xf numFmtId="0" fontId="6" fillId="19" borderId="10" xfId="0" applyNumberFormat="1" applyFont="1" applyFill="1" applyBorder="1" applyAlignment="1">
      <x:alignment horizontal="center" vertical="center" wrapText="1"/>
    </x:xf>
    <x:xf numFmtId="0" fontId="26" fillId="19" borderId="7" xfId="0" applyNumberFormat="1" applyFont="1" applyFill="1" applyBorder="1" applyAlignment="1">
      <x:alignment horizontal="center" vertical="center" wrapText="1"/>
    </x:xf>
    <x:xf numFmtId="0" fontId="26" fillId="19" borderId="24" xfId="0" applyNumberFormat="1" applyFont="1" applyFill="1" applyBorder="1" applyAlignment="1">
      <x:alignment horizontal="center" vertical="center" wrapText="1"/>
    </x:xf>
    <x:xf numFmtId="0" fontId="26" fillId="19" borderId="10" xfId="0" applyNumberFormat="1" applyFont="1" applyFill="1" applyBorder="1" applyAlignment="1">
      <x:alignment horizontal="center" vertical="center" wrapText="1"/>
    </x:xf>
    <x:xf numFmtId="200" fontId="6" fillId="20" xfId="0" applyNumberFormat="1" applyFont="1" applyFill="1" applyBorder="0" applyAlignment="1">
      <x:alignment horizontal="center" vertical="center" wrapText="1"/>
    </x:xf>
    <x:xf numFmtId="200" fontId="6" fillId="20" borderId="9" xfId="0" applyNumberFormat="1" applyFont="1" applyFill="1" applyBorder="1" applyAlignment="1">
      <x:alignment horizontal="center" vertical="center" wrapText="1"/>
    </x:xf>
    <x:xf numFmtId="208" fontId="6" fillId="20" borderId="23" xfId="0" applyNumberFormat="1" applyFont="1" applyFill="1" applyBorder="1" applyAlignment="1">
      <x:alignment horizontal="center" vertical="center" wrapText="1"/>
    </x:xf>
    <x:xf numFmtId="208" fontId="6" fillId="20" borderId="8" xfId="0" applyNumberFormat="1" applyFont="1" applyFill="1" applyBorder="1" applyAlignment="1">
      <x:alignment horizontal="center" vertical="center" wrapText="1"/>
    </x:xf>
    <x:xf numFmtId="208" fontId="6" fillId="20" xfId="0" applyNumberFormat="1" applyFont="1" applyFill="1" applyBorder="0" applyAlignment="1">
      <x:alignment horizontal="center" vertical="center" wrapText="1"/>
    </x:xf>
    <x:xf numFmtId="208" fontId="6" fillId="20" borderId="9" xfId="0" applyNumberFormat="1" applyFont="1" applyFill="1" applyBorder="1" applyAlignment="1">
      <x:alignment horizontal="center" vertical="center" wrapText="1"/>
    </x:xf>
    <x:xf numFmtId="207" fontId="6" fillId="9" borderId="6" xfId="0" applyNumberFormat="1" applyFont="1" applyFill="1" applyBorder="1" applyAlignment="1">
      <x:alignment horizontal="center" vertical="center" wrapText="1"/>
    </x:xf>
    <x:xf numFmtId="207" fontId="6" fillId="20" xfId="0" applyNumberFormat="1" applyFont="1" applyFill="1" applyBorder="0" applyAlignment="1">
      <x:alignment horizontal="center" vertical="center" wrapText="1"/>
    </x:xf>
    <x:xf numFmtId="207" fontId="6" fillId="9" xfId="0" applyNumberFormat="1" applyFont="1" applyFill="1" applyBorder="0" applyAlignment="1">
      <x:alignment horizontal="center" vertical="center" wrapText="1"/>
    </x:xf>
    <x:xf numFmtId="207" fontId="6" fillId="20" borderId="9" xfId="0" applyNumberFormat="1" applyFont="1" applyFill="1" applyBorder="1" applyAlignment="1">
      <x:alignment horizontal="center" vertical="center" wrapText="1"/>
    </x:xf>
    <x:xf numFmtId="0" fontId="6" fillId="37" borderId="0" xfId="0" applyNumberFormat="1" applyFont="1" applyFill="1" applyBorder="1" applyAlignment="1">
      <x:alignment horizontal="right" vertical="center" wrapText="1"/>
    </x:xf>
    <x:xf numFmtId="0" fontId="33" fillId="37" borderId="0" xfId="0" applyNumberFormat="1" applyFont="1" applyFill="1" applyBorder="1" applyAlignment="1">
      <x:alignment horizontal="right" vertical="center" wrapText="1"/>
    </x:xf>
    <x:xf numFmtId="0" fontId="33" fillId="37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right" vertical="center" wrapText="1"/>
    </x:xf>
    <x:xf numFmtId="0" fontId="34" fillId="38" borderId="0" xfId="0" applyNumberFormat="1" applyFont="1" applyFill="1" applyBorder="1" applyAlignment="1">
      <x:alignment horizontal="right" vertical="center" wrapText="1"/>
    </x:xf>
    <x:xf numFmtId="0" fontId="34" fillId="38" borderId="5" xfId="0" applyNumberFormat="1" applyFont="1" applyFill="1" applyBorder="1" applyAlignment="1">
      <x:alignment horizontal="right" vertical="center" wrapText="1"/>
    </x:xf>
    <x:xf numFmtId="0" fontId="34" fillId="38" borderId="6" xfId="0" applyNumberFormat="1" applyFont="1" applyFill="1" applyBorder="1" applyAlignment="1">
      <x:alignment horizontal="right" vertical="center" wrapText="1"/>
    </x:xf>
    <x:xf numFmtId="0" fontId="34" fillId="38" borderId="7" xfId="0" applyNumberFormat="1" applyFont="1" applyFill="1" applyBorder="1" applyAlignment="1">
      <x:alignment horizontal="right" vertical="center" wrapText="1"/>
    </x:xf>
    <x:xf numFmtId="0" fontId="34" fillId="38" borderId="23" xfId="0" applyNumberFormat="1" applyFont="1" applyFill="1" applyBorder="1" applyAlignment="1">
      <x:alignment horizontal="right" vertical="center" wrapText="1"/>
    </x:xf>
    <x:xf numFmtId="0" fontId="34" fillId="38" xfId="0" applyNumberFormat="1" applyFont="1" applyFill="1" applyBorder="0" applyAlignment="1">
      <x:alignment horizontal="right" vertical="center" wrapText="1"/>
    </x:xf>
    <x:xf numFmtId="0" fontId="34" fillId="38" borderId="24" xfId="0" applyNumberFormat="1" applyFont="1" applyFill="1" applyBorder="1" applyAlignment="1">
      <x:alignment horizontal="right" vertical="center" wrapText="1"/>
    </x:xf>
    <x:xf numFmtId="0" fontId="34" fillId="38" borderId="8" xfId="0" applyNumberFormat="1" applyFont="1" applyFill="1" applyBorder="1" applyAlignment="1">
      <x:alignment horizontal="right" vertical="center" wrapText="1"/>
    </x:xf>
    <x:xf numFmtId="0" fontId="34" fillId="38" borderId="9" xfId="0" applyNumberFormat="1" applyFont="1" applyFill="1" applyBorder="1" applyAlignment="1">
      <x:alignment horizontal="right" vertical="center" wrapText="1"/>
    </x:xf>
    <x:xf numFmtId="0" fontId="34" fillId="38" borderId="10" xfId="0" applyNumberFormat="1" applyFont="1" applyFill="1" applyBorder="1" applyAlignment="1">
      <x:alignment horizontal="right" vertical="center" wrapText="1"/>
    </x:xf>
    <x:xf numFmtId="0" fontId="34" fillId="38" borderId="5" xfId="0" applyNumberFormat="1" applyFont="1" applyFill="1" applyBorder="1" applyAlignment="1">
      <x:alignment horizontal="center" vertical="center" wrapText="1"/>
    </x:xf>
    <x:xf numFmtId="0" fontId="34" fillId="38" borderId="6" xfId="0" applyNumberFormat="1" applyFont="1" applyFill="1" applyBorder="1" applyAlignment="1">
      <x:alignment horizontal="center" vertical="center" wrapText="1"/>
    </x:xf>
    <x:xf numFmtId="0" fontId="34" fillId="38" borderId="7" xfId="0" applyNumberFormat="1" applyFont="1" applyFill="1" applyBorder="1" applyAlignment="1">
      <x:alignment horizontal="center" vertical="center" wrapText="1"/>
    </x:xf>
    <x:xf numFmtId="0" fontId="34" fillId="38" borderId="23" xfId="0" applyNumberFormat="1" applyFont="1" applyFill="1" applyBorder="1" applyAlignment="1">
      <x:alignment horizontal="center" vertical="center" wrapText="1"/>
    </x:xf>
    <x:xf numFmtId="0" fontId="34" fillId="38" xfId="0" applyNumberFormat="1" applyFont="1" applyFill="1" applyBorder="0" applyAlignment="1">
      <x:alignment horizontal="center" vertical="center" wrapText="1"/>
    </x:xf>
    <x:xf numFmtId="0" fontId="34" fillId="38" borderId="24" xfId="0" applyNumberFormat="1" applyFont="1" applyFill="1" applyBorder="1" applyAlignment="1">
      <x:alignment horizontal="center" vertical="center" wrapText="1"/>
    </x:xf>
    <x:xf numFmtId="0" fontId="34" fillId="38" borderId="8" xfId="0" applyNumberFormat="1" applyFont="1" applyFill="1" applyBorder="1" applyAlignment="1">
      <x:alignment horizontal="center" vertical="center" wrapText="1"/>
    </x:xf>
    <x:xf numFmtId="0" fontId="34" fillId="38" borderId="9" xfId="0" applyNumberFormat="1" applyFont="1" applyFill="1" applyBorder="1" applyAlignment="1">
      <x:alignment horizontal="center" vertical="center" wrapText="1"/>
    </x:xf>
    <x:xf numFmtId="0" fontId="34" fillId="38" borderId="10" xfId="0" applyNumberFormat="1" applyFont="1" applyFill="1" applyBorder="1" applyAlignment="1">
      <x:alignment horizontal="center" vertical="center" wrapText="1"/>
    </x:xf>
    <x:xf numFmtId="0" fontId="6" fillId="39" borderId="0" xfId="0" applyNumberFormat="1" applyFont="1" applyFill="1" applyBorder="1" applyAlignment="1">
      <x:alignment horizontal="right" vertical="center" wrapText="1"/>
    </x:xf>
    <x:xf numFmtId="0" fontId="35" fillId="39" borderId="0" xfId="0" applyNumberFormat="1" applyFont="1" applyFill="1" applyBorder="1" applyAlignment="1">
      <x:alignment horizontal="right" vertical="center" wrapText="1"/>
    </x:xf>
    <x:xf numFmtId="0" fontId="35" fillId="39" borderId="5" xfId="0" applyNumberFormat="1" applyFont="1" applyFill="1" applyBorder="1" applyAlignment="1">
      <x:alignment horizontal="right" vertical="center" wrapText="1"/>
    </x:xf>
    <x:xf numFmtId="0" fontId="35" fillId="39" borderId="6" xfId="0" applyNumberFormat="1" applyFont="1" applyFill="1" applyBorder="1" applyAlignment="1">
      <x:alignment horizontal="right" vertical="center" wrapText="1"/>
    </x:xf>
    <x:xf numFmtId="0" fontId="35" fillId="39" borderId="7" xfId="0" applyNumberFormat="1" applyFont="1" applyFill="1" applyBorder="1" applyAlignment="1">
      <x:alignment horizontal="right" vertical="center" wrapText="1"/>
    </x:xf>
    <x:xf numFmtId="0" fontId="35" fillId="39" borderId="23" xfId="0" applyNumberFormat="1" applyFont="1" applyFill="1" applyBorder="1" applyAlignment="1">
      <x:alignment horizontal="right" vertical="center" wrapText="1"/>
    </x:xf>
    <x:xf numFmtId="0" fontId="35" fillId="39" xfId="0" applyNumberFormat="1" applyFont="1" applyFill="1" applyBorder="0" applyAlignment="1">
      <x:alignment horizontal="right" vertical="center" wrapText="1"/>
    </x:xf>
    <x:xf numFmtId="0" fontId="35" fillId="39" borderId="24" xfId="0" applyNumberFormat="1" applyFont="1" applyFill="1" applyBorder="1" applyAlignment="1">
      <x:alignment horizontal="right" vertical="center" wrapText="1"/>
    </x:xf>
    <x:xf numFmtId="0" fontId="35" fillId="39" borderId="8" xfId="0" applyNumberFormat="1" applyFont="1" applyFill="1" applyBorder="1" applyAlignment="1">
      <x:alignment horizontal="right" vertical="center" wrapText="1"/>
    </x:xf>
    <x:xf numFmtId="0" fontId="35" fillId="39" borderId="9" xfId="0" applyNumberFormat="1" applyFont="1" applyFill="1" applyBorder="1" applyAlignment="1">
      <x:alignment horizontal="right" vertical="center" wrapText="1"/>
    </x:xf>
    <x:xf numFmtId="0" fontId="35" fillId="39" borderId="10" xfId="0" applyNumberFormat="1" applyFont="1" applyFill="1" applyBorder="1" applyAlignment="1">
      <x:alignment horizontal="right" vertical="center" wrapText="1"/>
    </x:xf>
    <x:xf numFmtId="0" fontId="35" fillId="39" borderId="5" xfId="0" applyNumberFormat="1" applyFont="1" applyFill="1" applyBorder="1" applyAlignment="1">
      <x:alignment horizontal="center" vertical="center" wrapText="1"/>
    </x:xf>
    <x:xf numFmtId="0" fontId="35" fillId="39" borderId="6" xfId="0" applyNumberFormat="1" applyFont="1" applyFill="1" applyBorder="1" applyAlignment="1">
      <x:alignment horizontal="center" vertical="center" wrapText="1"/>
    </x:xf>
    <x:xf numFmtId="0" fontId="35" fillId="39" borderId="7" xfId="0" applyNumberFormat="1" applyFont="1" applyFill="1" applyBorder="1" applyAlignment="1">
      <x:alignment horizontal="center" vertical="center" wrapText="1"/>
    </x:xf>
    <x:xf numFmtId="0" fontId="35" fillId="39" borderId="23" xfId="0" applyNumberFormat="1" applyFont="1" applyFill="1" applyBorder="1" applyAlignment="1">
      <x:alignment horizontal="center" vertical="center" wrapText="1"/>
    </x:xf>
    <x:xf numFmtId="0" fontId="35" fillId="39" xfId="0" applyNumberFormat="1" applyFont="1" applyFill="1" applyBorder="0" applyAlignment="1">
      <x:alignment horizontal="center" vertical="center" wrapText="1"/>
    </x:xf>
    <x:xf numFmtId="0" fontId="35" fillId="39" borderId="24" xfId="0" applyNumberFormat="1" applyFont="1" applyFill="1" applyBorder="1" applyAlignment="1">
      <x:alignment horizontal="center" vertical="center" wrapText="1"/>
    </x:xf>
    <x:xf numFmtId="0" fontId="35" fillId="39" borderId="8" xfId="0" applyNumberFormat="1" applyFont="1" applyFill="1" applyBorder="1" applyAlignment="1">
      <x:alignment horizontal="center" vertical="center" wrapText="1"/>
    </x:xf>
    <x:xf numFmtId="0" fontId="35" fillId="39" borderId="9" xfId="0" applyNumberFormat="1" applyFont="1" applyFill="1" applyBorder="1" applyAlignment="1">
      <x:alignment horizontal="center" vertical="center" wrapText="1"/>
    </x:xf>
    <x:xf numFmtId="0" fontId="35" fillId="39" borderId="10" xfId="0" applyNumberFormat="1" applyFont="1" applyFill="1" applyBorder="1" applyAlignment="1">
      <x:alignment horizontal="center" vertical="center" wrapText="1"/>
    </x:xf>
    <x:xf numFmtId="0" fontId="24" fillId="5" borderId="0" xfId="0" applyNumberFormat="1" applyFont="1" applyFill="1" applyBorder="1" applyAlignment="1">
      <x:alignment horizontal="right" vertical="center" wrapText="1"/>
    </x:xf>
    <x:xf numFmtId="0" fontId="24" fillId="5" borderId="0" xfId="0" applyNumberFormat="1" applyFont="1" applyFill="1" applyBorder="1" applyAlignment="1">
      <x:alignment horizontal="center" vertical="center" wrapText="1"/>
    </x:xf>
    <x:xf numFmtId="0" fontId="33" fillId="6" borderId="0" xfId="0" applyNumberFormat="1" applyFont="1" applyFill="1" applyBorder="1" applyAlignment="1">
      <x:alignment horizontal="right" vertical="center" wrapText="1"/>
    </x:xf>
    <x:xf numFmtId="0" fontId="33" fillId="6" borderId="0" xfId="0" applyNumberFormat="1" applyFont="1" applyFill="1" applyBorder="1" applyAlignment="1">
      <x:alignment horizontal="center" vertical="center" wrapText="1"/>
    </x:xf>
    <x:xf numFmtId="0" fontId="34" fillId="14" borderId="0" xfId="0" applyNumberFormat="1" applyFont="1" applyFill="1" applyBorder="1" applyAlignment="1">
      <x:alignment horizontal="right" vertical="center" wrapText="1"/>
    </x:xf>
    <x:xf numFmtId="0" fontId="34" fillId="14" borderId="5" xfId="0" applyNumberFormat="1" applyFont="1" applyFill="1" applyBorder="1" applyAlignment="1">
      <x:alignment horizontal="right" vertical="center" wrapText="1"/>
    </x:xf>
    <x:xf numFmtId="0" fontId="34" fillId="14" borderId="6" xfId="0" applyNumberFormat="1" applyFont="1" applyFill="1" applyBorder="1" applyAlignment="1">
      <x:alignment horizontal="right" vertical="center" wrapText="1"/>
    </x:xf>
    <x:xf numFmtId="0" fontId="34" fillId="14" borderId="7" xfId="0" applyNumberFormat="1" applyFont="1" applyFill="1" applyBorder="1" applyAlignment="1">
      <x:alignment horizontal="right" vertical="center" wrapText="1"/>
    </x:xf>
    <x:xf numFmtId="0" fontId="34" fillId="14" borderId="23" xfId="0" applyNumberFormat="1" applyFont="1" applyFill="1" applyBorder="1" applyAlignment="1">
      <x:alignment horizontal="right" vertical="center" wrapText="1"/>
    </x:xf>
    <x:xf numFmtId="0" fontId="34" fillId="14" xfId="0" applyNumberFormat="1" applyFont="1" applyFill="1" applyBorder="0" applyAlignment="1">
      <x:alignment horizontal="right" vertical="center" wrapText="1"/>
    </x:xf>
    <x:xf numFmtId="0" fontId="34" fillId="14" borderId="24" xfId="0" applyNumberFormat="1" applyFont="1" applyFill="1" applyBorder="1" applyAlignment="1">
      <x:alignment horizontal="right" vertical="center" wrapText="1"/>
    </x:xf>
    <x:xf numFmtId="0" fontId="34" fillId="14" borderId="8" xfId="0" applyNumberFormat="1" applyFont="1" applyFill="1" applyBorder="1" applyAlignment="1">
      <x:alignment horizontal="right" vertical="center" wrapText="1"/>
    </x:xf>
    <x:xf numFmtId="0" fontId="34" fillId="14" borderId="9" xfId="0" applyNumberFormat="1" applyFont="1" applyFill="1" applyBorder="1" applyAlignment="1">
      <x:alignment horizontal="right" vertical="center" wrapText="1"/>
    </x:xf>
    <x:xf numFmtId="0" fontId="34" fillId="14" borderId="10" xfId="0" applyNumberFormat="1" applyFont="1" applyFill="1" applyBorder="1" applyAlignment="1">
      <x:alignment horizontal="right" vertical="center" wrapText="1"/>
    </x:xf>
    <x:xf numFmtId="0" fontId="34" fillId="14" borderId="5" xfId="0" applyNumberFormat="1" applyFont="1" applyFill="1" applyBorder="1" applyAlignment="1">
      <x:alignment horizontal="center" vertical="center" wrapText="1"/>
    </x:xf>
    <x:xf numFmtId="0" fontId="34" fillId="14" borderId="6" xfId="0" applyNumberFormat="1" applyFont="1" applyFill="1" applyBorder="1" applyAlignment="1">
      <x:alignment horizontal="center" vertical="center" wrapText="1"/>
    </x:xf>
    <x:xf numFmtId="0" fontId="34" fillId="14" borderId="7" xfId="0" applyNumberFormat="1" applyFont="1" applyFill="1" applyBorder="1" applyAlignment="1">
      <x:alignment horizontal="center" vertical="center" wrapText="1"/>
    </x:xf>
    <x:xf numFmtId="0" fontId="34" fillId="14" borderId="23" xfId="0" applyNumberFormat="1" applyFont="1" applyFill="1" applyBorder="1" applyAlignment="1">
      <x:alignment horizontal="center" vertical="center" wrapText="1"/>
    </x:xf>
    <x:xf numFmtId="0" fontId="34" fillId="14" xfId="0" applyNumberFormat="1" applyFont="1" applyFill="1" applyBorder="0" applyAlignment="1">
      <x:alignment horizontal="center" vertical="center" wrapText="1"/>
    </x:xf>
    <x:xf numFmtId="0" fontId="34" fillId="14" borderId="24" xfId="0" applyNumberFormat="1" applyFont="1" applyFill="1" applyBorder="1" applyAlignment="1">
      <x:alignment horizontal="center" vertical="center" wrapText="1"/>
    </x:xf>
    <x:xf numFmtId="0" fontId="34" fillId="14" borderId="8" xfId="0" applyNumberFormat="1" applyFont="1" applyFill="1" applyBorder="1" applyAlignment="1">
      <x:alignment horizontal="center" vertical="center" wrapText="1"/>
    </x:xf>
    <x:xf numFmtId="0" fontId="34" fillId="14" borderId="9" xfId="0" applyNumberFormat="1" applyFont="1" applyFill="1" applyBorder="1" applyAlignment="1">
      <x:alignment horizontal="center" vertical="center" wrapText="1"/>
    </x:xf>
    <x:xf numFmtId="0" fontId="34" fillId="14" borderId="10" xfId="0" applyNumberFormat="1" applyFont="1" applyFill="1" applyBorder="1" applyAlignment="1">
      <x:alignment horizontal="center" vertical="center" wrapText="1"/>
    </x:xf>
    <x:xf numFmtId="0" fontId="35" fillId="16" borderId="0" xfId="0" applyNumberFormat="1" applyFont="1" applyFill="1" applyBorder="1" applyAlignment="1">
      <x:alignment horizontal="right" vertical="center" wrapText="1"/>
    </x:xf>
    <x:xf numFmtId="0" fontId="35" fillId="16" borderId="5" xfId="0" applyNumberFormat="1" applyFont="1" applyFill="1" applyBorder="1" applyAlignment="1">
      <x:alignment horizontal="right" vertical="center" wrapText="1"/>
    </x:xf>
    <x:xf numFmtId="0" fontId="35" fillId="16" borderId="6" xfId="0" applyNumberFormat="1" applyFont="1" applyFill="1" applyBorder="1" applyAlignment="1">
      <x:alignment horizontal="right" vertical="center" wrapText="1"/>
    </x:xf>
    <x:xf numFmtId="0" fontId="35" fillId="16" borderId="7" xfId="0" applyNumberFormat="1" applyFont="1" applyFill="1" applyBorder="1" applyAlignment="1">
      <x:alignment horizontal="right" vertical="center" wrapText="1"/>
    </x:xf>
    <x:xf numFmtId="0" fontId="35" fillId="16" borderId="23" xfId="0" applyNumberFormat="1" applyFont="1" applyFill="1" applyBorder="1" applyAlignment="1">
      <x:alignment horizontal="right" vertical="center" wrapText="1"/>
    </x:xf>
    <x:xf numFmtId="0" fontId="35" fillId="16" xfId="0" applyNumberFormat="1" applyFont="1" applyFill="1" applyBorder="0" applyAlignment="1">
      <x:alignment horizontal="right" vertical="center" wrapText="1"/>
    </x:xf>
    <x:xf numFmtId="0" fontId="35" fillId="16" borderId="24" xfId="0" applyNumberFormat="1" applyFont="1" applyFill="1" applyBorder="1" applyAlignment="1">
      <x:alignment horizontal="right" vertical="center" wrapText="1"/>
    </x:xf>
    <x:xf numFmtId="0" fontId="35" fillId="16" borderId="8" xfId="0" applyNumberFormat="1" applyFont="1" applyFill="1" applyBorder="1" applyAlignment="1">
      <x:alignment horizontal="right" vertical="center" wrapText="1"/>
    </x:xf>
    <x:xf numFmtId="0" fontId="35" fillId="16" borderId="9" xfId="0" applyNumberFormat="1" applyFont="1" applyFill="1" applyBorder="1" applyAlignment="1">
      <x:alignment horizontal="right" vertical="center" wrapText="1"/>
    </x:xf>
    <x:xf numFmtId="0" fontId="35" fillId="16" borderId="10" xfId="0" applyNumberFormat="1" applyFont="1" applyFill="1" applyBorder="1" applyAlignment="1">
      <x:alignment horizontal="right" vertical="center" wrapText="1"/>
    </x:xf>
    <x:xf numFmtId="0" fontId="35" fillId="16" borderId="5" xfId="0" applyNumberFormat="1" applyFont="1" applyFill="1" applyBorder="1" applyAlignment="1">
      <x:alignment horizontal="center" vertical="center" wrapText="1"/>
    </x:xf>
    <x:xf numFmtId="0" fontId="35" fillId="16" borderId="6" xfId="0" applyNumberFormat="1" applyFont="1" applyFill="1" applyBorder="1" applyAlignment="1">
      <x:alignment horizontal="center" vertical="center" wrapText="1"/>
    </x:xf>
    <x:xf numFmtId="0" fontId="35" fillId="16" borderId="7" xfId="0" applyNumberFormat="1" applyFont="1" applyFill="1" applyBorder="1" applyAlignment="1">
      <x:alignment horizontal="center" vertical="center" wrapText="1"/>
    </x:xf>
    <x:xf numFmtId="0" fontId="35" fillId="16" borderId="23" xfId="0" applyNumberFormat="1" applyFont="1" applyFill="1" applyBorder="1" applyAlignment="1">
      <x:alignment horizontal="center" vertical="center" wrapText="1"/>
    </x:xf>
    <x:xf numFmtId="0" fontId="35" fillId="16" xfId="0" applyNumberFormat="1" applyFont="1" applyFill="1" applyBorder="0" applyAlignment="1">
      <x:alignment horizontal="center" vertical="center" wrapText="1"/>
    </x:xf>
    <x:xf numFmtId="0" fontId="35" fillId="16" borderId="24" xfId="0" applyNumberFormat="1" applyFont="1" applyFill="1" applyBorder="1" applyAlignment="1">
      <x:alignment horizontal="center" vertical="center" wrapText="1"/>
    </x:xf>
    <x:xf numFmtId="0" fontId="35" fillId="16" borderId="8" xfId="0" applyNumberFormat="1" applyFont="1" applyFill="1" applyBorder="1" applyAlignment="1">
      <x:alignment horizontal="center" vertical="center" wrapText="1"/>
    </x:xf>
    <x:xf numFmtId="0" fontId="35" fillId="16" borderId="9" xfId="0" applyNumberFormat="1" applyFont="1" applyFill="1" applyBorder="1" applyAlignment="1">
      <x:alignment horizontal="center" vertical="center" wrapText="1"/>
    </x:xf>
    <x:xf numFmtId="0" fontId="35" fillId="16" borderId="10" xfId="0" applyNumberFormat="1" applyFont="1" applyFill="1" applyBorder="1" applyAlignment="1">
      <x:alignment horizontal="center" vertical="center" wrapText="1"/>
    </x:xf>
    <x:xf numFmtId="0" fontId="33" fillId="40" borderId="0" xfId="0" applyNumberFormat="1" applyFont="1" applyFill="1" applyBorder="1" applyAlignment="1">
      <x:alignment horizontal="center" vertical="center" wrapText="1"/>
    </x:xf>
    <x:xf numFmtId="0" fontId="34" fillId="41" borderId="5" xfId="0" applyNumberFormat="1" applyFont="1" applyFill="1" applyBorder="1" applyAlignment="1">
      <x:alignment horizontal="center" vertical="center" wrapText="1"/>
    </x:xf>
    <x:xf numFmtId="0" fontId="34" fillId="41" borderId="6" xfId="0" applyNumberFormat="1" applyFont="1" applyFill="1" applyBorder="1" applyAlignment="1">
      <x:alignment horizontal="center" vertical="center" wrapText="1"/>
    </x:xf>
    <x:xf numFmtId="0" fontId="2" fillId="41" borderId="5" xfId="0" applyNumberFormat="1" applyFont="1" applyFill="1" applyBorder="1" applyAlignment="1">
      <x:alignment horizontal="center" vertical="center" wrapText="1"/>
    </x:xf>
    <x:xf numFmtId="0" fontId="2" fillId="41" borderId="6" xfId="0" applyNumberFormat="1" applyFont="1" applyFill="1" applyBorder="1" applyAlignment="1">
      <x:alignment horizontal="center" vertical="center" wrapText="1"/>
    </x:xf>
    <x:xf numFmtId="0" fontId="34" fillId="42" borderId="23" xfId="0" applyNumberFormat="1" applyFont="1" applyFill="1" applyBorder="1" applyAlignment="1">
      <x:alignment horizontal="center" vertical="center" wrapText="1"/>
    </x:xf>
    <x:xf numFmtId="0" fontId="34" fillId="42" xfId="0" applyNumberFormat="1" applyFont="1" applyFill="1" applyBorder="0" applyAlignment="1">
      <x:alignment horizontal="center" vertical="center" wrapText="1"/>
    </x:xf>
    <x:xf numFmtId="0" fontId="34" fillId="42" borderId="8" xfId="0" applyNumberFormat="1" applyFont="1" applyFill="1" applyBorder="1" applyAlignment="1">
      <x:alignment horizontal="center" vertical="center" wrapText="1"/>
    </x:xf>
    <x:xf numFmtId="0" fontId="34" fillId="42" borderId="9" xfId="0" applyNumberFormat="1" applyFont="1" applyFill="1" applyBorder="1" applyAlignment="1">
      <x:alignment horizontal="center" vertical="center" wrapText="1"/>
    </x:xf>
    <x:xf numFmtId="0" fontId="36" fillId="42" borderId="23" xfId="0" applyNumberFormat="1" applyFont="1" applyFill="1" applyBorder="1" applyAlignment="1">
      <x:alignment horizontal="center" vertical="center" wrapText="1"/>
    </x:xf>
    <x:xf numFmtId="0" fontId="36" fillId="42" xfId="0" applyNumberFormat="1" applyFont="1" applyFill="1" applyBorder="0" applyAlignment="1">
      <x:alignment horizontal="center" vertical="center" wrapText="1"/>
    </x:xf>
    <x:xf numFmtId="0" fontId="36" fillId="42" borderId="8" xfId="0" applyNumberFormat="1" applyFont="1" applyFill="1" applyBorder="1" applyAlignment="1">
      <x:alignment horizontal="center" vertical="center" wrapText="1"/>
    </x:xf>
    <x:xf numFmtId="0" fontId="36" fillId="42" borderId="9" xfId="0" applyNumberFormat="1" applyFont="1" applyFill="1" applyBorder="1" applyAlignment="1">
      <x:alignment horizontal="center" vertical="center" wrapText="1"/>
    </x:xf>
    <x:xf numFmtId="0" fontId="36" fillId="42" borderId="5" xfId="0" applyNumberFormat="1" applyFont="1" applyFill="1" applyBorder="1" applyAlignment="1">
      <x:alignment horizontal="center" vertical="center" wrapText="1"/>
    </x:xf>
    <x:xf numFmtId="0" fontId="36" fillId="42" borderId="6" xfId="0" applyNumberFormat="1" applyFont="1" applyFill="1" applyBorder="1" applyAlignment="1">
      <x:alignment horizontal="center" vertical="center" wrapText="1"/>
    </x:xf>
    <x:xf numFmtId="0" fontId="36" fillId="42" borderId="7" xfId="0" applyNumberFormat="1" applyFont="1" applyFill="1" applyBorder="1" applyAlignment="1">
      <x:alignment horizontal="center" vertical="center" wrapText="1"/>
    </x:xf>
    <x:xf numFmtId="0" fontId="36" fillId="42" borderId="10" xfId="0" applyNumberFormat="1" applyFont="1" applyFill="1" applyBorder="1" applyAlignment="1">
      <x:alignment horizontal="center" vertical="center" wrapText="1"/>
    </x:xf>
    <x:xf numFmtId="208" fontId="36" fillId="42" borderId="5" xfId="0" applyNumberFormat="1" applyFont="1" applyFill="1" applyBorder="1" applyAlignment="1">
      <x:alignment horizontal="center" vertical="center" wrapText="1"/>
    </x:xf>
    <x:xf numFmtId="0" fontId="34" fillId="43" borderId="6" xfId="0" applyNumberFormat="1" applyFont="1" applyFill="1" applyBorder="1" applyAlignment="1">
      <x:alignment horizontal="center" vertical="center" wrapText="1"/>
    </x:xf>
    <x:xf numFmtId="0" fontId="34" fillId="43" borderId="7" xfId="0" applyNumberFormat="1" applyFont="1" applyFill="1" applyBorder="1" applyAlignment="1">
      <x:alignment horizontal="center" vertical="center" wrapText="1"/>
    </x:xf>
    <x:xf numFmtId="0" fontId="2" fillId="43" borderId="6" xfId="0" applyNumberFormat="1" applyFont="1" applyFill="1" applyBorder="1" applyAlignment="1">
      <x:alignment horizontal="center" vertical="center" wrapText="1"/>
    </x:xf>
    <x:xf numFmtId="0" fontId="2" fillId="43" borderId="7" xfId="0" applyNumberFormat="1" applyFont="1" applyFill="1" applyBorder="1" applyAlignment="1">
      <x:alignment horizontal="center" vertical="center" wrapText="1"/>
    </x:xf>
    <x:xf numFmtId="0" fontId="34" fillId="42" borderId="24" xfId="0" applyNumberFormat="1" applyFont="1" applyFill="1" applyBorder="1" applyAlignment="1">
      <x:alignment horizontal="center" vertical="center" wrapText="1"/>
    </x:xf>
    <x:xf numFmtId="0" fontId="34" fillId="42" borderId="10" xfId="0" applyNumberFormat="1" applyFont="1" applyFill="1" applyBorder="1" applyAlignment="1">
      <x:alignment horizontal="center" vertical="center" wrapText="1"/>
    </x:xf>
    <x:xf numFmtId="0" fontId="37" fillId="42" xfId="0" applyNumberFormat="1" applyFont="1" applyFill="1" applyBorder="0" applyAlignment="1">
      <x:alignment horizontal="center" vertical="center" wrapText="1"/>
    </x:xf>
    <x:xf numFmtId="0" fontId="37" fillId="42" borderId="24" xfId="0" applyNumberFormat="1" applyFont="1" applyFill="1" applyBorder="1" applyAlignment="1">
      <x:alignment horizontal="center" vertical="center" wrapText="1"/>
    </x:xf>
    <x:xf numFmtId="0" fontId="37" fillId="42" borderId="9" xfId="0" applyNumberFormat="1" applyFont="1" applyFill="1" applyBorder="1" applyAlignment="1">
      <x:alignment horizontal="center" vertical="center" wrapText="1"/>
    </x:xf>
    <x:xf numFmtId="0" fontId="37" fillId="42" borderId="10" xfId="0" applyNumberFormat="1" applyFont="1" applyFill="1" applyBorder="1" applyAlignment="1">
      <x:alignment horizontal="center" vertical="center" wrapText="1"/>
    </x:xf>
    <x:xf numFmtId="0" fontId="37" fillId="42" borderId="5" xfId="0" applyNumberFormat="1" applyFont="1" applyFill="1" applyBorder="1" applyAlignment="1">
      <x:alignment horizontal="center" vertical="center" wrapText="1"/>
    </x:xf>
    <x:xf numFmtId="0" fontId="37" fillId="42" borderId="6" xfId="0" applyNumberFormat="1" applyFont="1" applyFill="1" applyBorder="1" applyAlignment="1">
      <x:alignment horizontal="center" vertical="center" wrapText="1"/>
    </x:xf>
    <x:xf numFmtId="0" fontId="37" fillId="42" borderId="7" xfId="0" applyNumberFormat="1" applyFont="1" applyFill="1" applyBorder="1" applyAlignment="1">
      <x:alignment horizontal="center" vertical="center" wrapText="1"/>
    </x:xf>
    <x:xf numFmtId="0" fontId="37" fillId="42" borderId="8" xfId="0" applyNumberFormat="1" applyFont="1" applyFill="1" applyBorder="1" applyAlignment="1">
      <x:alignment horizontal="center" vertical="center" wrapText="1"/>
    </x:xf>
    <x:xf numFmtId="203" fontId="37" fillId="42" borderId="5" xfId="0" applyNumberFormat="1" applyFont="1" applyFill="1" applyBorder="1" applyAlignment="1">
      <x:alignment horizontal="center" vertical="center" wrapText="1"/>
    </x:xf>
    <x:xf numFmtId="0" fontId="6" fillId="44" borderId="0" xfId="0" applyNumberFormat="1" applyFont="1" applyFill="1" applyBorder="1" applyAlignment="1">
      <x:alignment horizontal="right" vertical="center" wrapText="1"/>
    </x:xf>
    <x:xf numFmtId="0" fontId="35" fillId="44" borderId="5" xfId="0" applyNumberFormat="1" applyFont="1" applyFill="1" applyBorder="1" applyAlignment="1">
      <x:alignment horizontal="center" vertical="center" wrapText="1"/>
    </x:xf>
    <x:xf numFmtId="0" fontId="35" fillId="44" borderId="6" xfId="0" applyNumberFormat="1" applyFont="1" applyFill="1" applyBorder="1" applyAlignment="1">
      <x:alignment horizontal="center" vertical="center" wrapText="1"/>
    </x:xf>
    <x:xf numFmtId="0" fontId="2" fillId="44" borderId="0" xfId="0" applyNumberFormat="1" applyFont="1" applyFill="1" applyBorder="1" applyAlignment="1">
      <x:alignment horizontal="right" vertical="center" wrapText="1"/>
    </x:xf>
    <x:xf numFmtId="0" fontId="2" fillId="44" borderId="5" xfId="0" applyNumberFormat="1" applyFont="1" applyFill="1" applyBorder="1" applyAlignment="1">
      <x:alignment horizontal="center" vertical="center" wrapText="1"/>
    </x:xf>
    <x:xf numFmtId="0" fontId="2" fillId="44" borderId="6" xfId="0" applyNumberFormat="1" applyFont="1" applyFill="1" applyBorder="1" applyAlignment="1">
      <x:alignment horizontal="center" vertical="center" wrapText="1"/>
    </x:xf>
    <x:xf numFmtId="0" fontId="2" fillId="44" borderId="0" xfId="0" applyNumberFormat="1" applyFont="1" applyFill="1" applyBorder="1" applyAlignment="1">
      <x:alignment horizontal="center" vertical="center" wrapText="1"/>
    </x:xf>
    <x:xf numFmtId="0" fontId="6" fillId="42" borderId="0" xfId="0" applyNumberFormat="1" applyFont="1" applyFill="1" applyBorder="1" applyAlignment="1">
      <x:alignment horizontal="right" vertical="center" wrapText="1"/>
    </x:xf>
    <x:xf numFmtId="0" fontId="35" fillId="42" borderId="23" xfId="0" applyNumberFormat="1" applyFont="1" applyFill="1" applyBorder="1" applyAlignment="1">
      <x:alignment horizontal="center" vertical="center" wrapText="1"/>
    </x:xf>
    <x:xf numFmtId="0" fontId="35" fillId="42" xfId="0" applyNumberFormat="1" applyFont="1" applyFill="1" applyBorder="0" applyAlignment="1">
      <x:alignment horizontal="center" vertical="center" wrapText="1"/>
    </x:xf>
    <x:xf numFmtId="0" fontId="35" fillId="42" borderId="8" xfId="0" applyNumberFormat="1" applyFont="1" applyFill="1" applyBorder="1" applyAlignment="1">
      <x:alignment horizontal="center" vertical="center" wrapText="1"/>
    </x:xf>
    <x:xf numFmtId="0" fontId="35" fillId="42" borderId="9" xfId="0" applyNumberFormat="1" applyFont="1" applyFill="1" applyBorder="1" applyAlignment="1">
      <x:alignment horizontal="center" vertical="center" wrapText="1"/>
    </x:xf>
    <x:xf numFmtId="0" fontId="38" fillId="42" borderId="0" xfId="0" applyNumberFormat="1" applyFont="1" applyFill="1" applyBorder="1" applyAlignment="1">
      <x:alignment horizontal="right" vertical="center" wrapText="1"/>
    </x:xf>
    <x:xf numFmtId="0" fontId="38" fillId="42" borderId="23" xfId="0" applyNumberFormat="1" applyFont="1" applyFill="1" applyBorder="1" applyAlignment="1">
      <x:alignment horizontal="center" vertical="center" wrapText="1"/>
    </x:xf>
    <x:xf numFmtId="0" fontId="38" fillId="42" xfId="0" applyNumberFormat="1" applyFont="1" applyFill="1" applyBorder="0" applyAlignment="1">
      <x:alignment horizontal="center" vertical="center" wrapText="1"/>
    </x:xf>
    <x:xf numFmtId="0" fontId="38" fillId="42" borderId="8" xfId="0" applyNumberFormat="1" applyFont="1" applyFill="1" applyBorder="1" applyAlignment="1">
      <x:alignment horizontal="center" vertical="center" wrapText="1"/>
    </x:xf>
    <x:xf numFmtId="0" fontId="38" fillId="42" borderId="9" xfId="0" applyNumberFormat="1" applyFont="1" applyFill="1" applyBorder="1" applyAlignment="1">
      <x:alignment horizontal="center" vertical="center" wrapText="1"/>
    </x:xf>
    <x:xf numFmtId="0" fontId="38" fillId="42" borderId="5" xfId="0" applyNumberFormat="1" applyFont="1" applyFill="1" applyBorder="1" applyAlignment="1">
      <x:alignment horizontal="right" vertical="center" wrapText="1"/>
    </x:xf>
    <x:xf numFmtId="0" fontId="38" fillId="42" borderId="5" xfId="0" applyNumberFormat="1" applyFont="1" applyFill="1" applyBorder="1" applyAlignment="1">
      <x:alignment horizontal="center" vertical="center" wrapText="1"/>
    </x:xf>
    <x:xf numFmtId="0" fontId="38" fillId="42" borderId="6" xfId="0" applyNumberFormat="1" applyFont="1" applyFill="1" applyBorder="1" applyAlignment="1">
      <x:alignment horizontal="center" vertical="center" wrapText="1"/>
    </x:xf>
    <x:xf numFmtId="0" fontId="38" fillId="42" borderId="7" xfId="0" applyNumberFormat="1" applyFont="1" applyFill="1" applyBorder="1" applyAlignment="1">
      <x:alignment horizontal="center" vertical="center" wrapText="1"/>
    </x:xf>
    <x:xf numFmtId="0" fontId="38" fillId="42" borderId="8" xfId="0" applyNumberFormat="1" applyFont="1" applyFill="1" applyBorder="1" applyAlignment="1">
      <x:alignment horizontal="right" vertical="center" wrapText="1"/>
    </x:xf>
    <x:xf numFmtId="0" fontId="38" fillId="42" borderId="10" xfId="0" applyNumberFormat="1" applyFont="1" applyFill="1" applyBorder="1" applyAlignment="1">
      <x:alignment horizontal="center" vertical="center" wrapText="1"/>
    </x:xf>
    <x:xf numFmtId="200" fontId="38" fillId="42" borderId="5" xfId="0" applyNumberFormat="1" applyFont="1" applyFill="1" applyBorder="1" applyAlignment="1">
      <x:alignment horizontal="center" vertical="center" wrapText="1"/>
    </x:xf>
    <x:xf numFmtId="0" fontId="35" fillId="45" borderId="6" xfId="0" applyNumberFormat="1" applyFont="1" applyFill="1" applyBorder="1" applyAlignment="1">
      <x:alignment horizontal="center" vertical="center" wrapText="1"/>
    </x:xf>
    <x:xf numFmtId="0" fontId="35" fillId="45" borderId="7" xfId="0" applyNumberFormat="1" applyFont="1" applyFill="1" applyBorder="1" applyAlignment="1">
      <x:alignment horizontal="center" vertical="center" wrapText="1"/>
    </x:xf>
    <x:xf numFmtId="0" fontId="2" fillId="45" borderId="6" xfId="0" applyNumberFormat="1" applyFont="1" applyFill="1" applyBorder="1" applyAlignment="1">
      <x:alignment horizontal="center" vertical="center" wrapText="1"/>
    </x:xf>
    <x:xf numFmtId="0" fontId="2" fillId="45" borderId="7" xfId="0" applyNumberFormat="1" applyFont="1" applyFill="1" applyBorder="1" applyAlignment="1">
      <x:alignment horizontal="center" vertical="center" wrapText="1"/>
    </x:xf>
    <x:xf numFmtId="0" fontId="35" fillId="42" borderId="24" xfId="0" applyNumberFormat="1" applyFont="1" applyFill="1" applyBorder="1" applyAlignment="1">
      <x:alignment horizontal="center" vertical="center" wrapText="1"/>
    </x:xf>
    <x:xf numFmtId="0" fontId="35" fillId="42" borderId="10" xfId="0" applyNumberFormat="1" applyFont="1" applyFill="1" applyBorder="1" applyAlignment="1">
      <x:alignment horizontal="center" vertical="center" wrapText="1"/>
    </x:xf>
    <x:xf numFmtId="0" fontId="39" fillId="42" xfId="0" applyNumberFormat="1" applyFont="1" applyFill="1" applyBorder="0" applyAlignment="1">
      <x:alignment horizontal="center" vertical="center" wrapText="1"/>
    </x:xf>
    <x:xf numFmtId="0" fontId="39" fillId="42" borderId="24" xfId="0" applyNumberFormat="1" applyFont="1" applyFill="1" applyBorder="1" applyAlignment="1">
      <x:alignment horizontal="center" vertical="center" wrapText="1"/>
    </x:xf>
    <x:xf numFmtId="0" fontId="39" fillId="42" borderId="9" xfId="0" applyNumberFormat="1" applyFont="1" applyFill="1" applyBorder="1" applyAlignment="1">
      <x:alignment horizontal="center" vertical="center" wrapText="1"/>
    </x:xf>
    <x:xf numFmtId="0" fontId="39" fillId="42" borderId="10" xfId="0" applyNumberFormat="1" applyFont="1" applyFill="1" applyBorder="1" applyAlignment="1">
      <x:alignment horizontal="center" vertical="center" wrapText="1"/>
    </x:xf>
    <x:xf numFmtId="0" fontId="39" fillId="42" borderId="5" xfId="0" applyNumberFormat="1" applyFont="1" applyFill="1" applyBorder="1" applyAlignment="1">
      <x:alignment horizontal="center" vertical="center" wrapText="1"/>
    </x:xf>
    <x:xf numFmtId="0" fontId="39" fillId="42" borderId="6" xfId="0" applyNumberFormat="1" applyFont="1" applyFill="1" applyBorder="1" applyAlignment="1">
      <x:alignment horizontal="center" vertical="center" wrapText="1"/>
    </x:xf>
    <x:xf numFmtId="0" fontId="39" fillId="42" borderId="7" xfId="0" applyNumberFormat="1" applyFont="1" applyFill="1" applyBorder="1" applyAlignment="1">
      <x:alignment horizontal="center" vertical="center" wrapText="1"/>
    </x:xf>
    <x:xf numFmtId="0" fontId="39" fillId="42" borderId="8" xfId="0" applyNumberFormat="1" applyFont="1" applyFill="1" applyBorder="1" applyAlignment="1">
      <x:alignment horizontal="center" vertical="center" wrapText="1"/>
    </x:xf>
    <x:xf numFmtId="208" fontId="39" fillId="42" borderId="5" xfId="0" applyNumberFormat="1" applyFont="1" applyFill="1" applyBorder="1" applyAlignment="1">
      <x:alignment horizontal="center" vertical="center" wrapText="1"/>
    </x:xf>
    <x:xf numFmtId="0" fontId="24" fillId="46" borderId="0" xfId="0" applyNumberFormat="1" applyFont="1" applyFill="1" applyBorder="1" applyAlignment="1">
      <x:alignment horizontal="center" vertical="center" wrapText="1"/>
    </x:xf>
    <x:xf numFmtId="0" fontId="40" fillId="46" borderId="0" xfId="0" applyNumberFormat="1" applyFont="1" applyFill="1" applyBorder="1" applyAlignment="1">
      <x:alignment horizontal="center" vertical="center" wrapText="1"/>
    </x:xf>
    <x:xf numFmtId="0" fontId="40" fillId="46" borderId="25" xfId="0" applyNumberFormat="1" applyFont="1" applyFill="1" applyBorder="1" applyAlignment="1">
      <x:alignment horizontal="center" vertical="center" wrapText="1"/>
    </x:xf>
    <x:xf numFmtId="0" fontId="40" fillId="46" borderId="26" xfId="0" applyNumberFormat="1" applyFont="1" applyFill="1" applyBorder="1" applyAlignment="1">
      <x:alignment horizontal="center" vertical="center" wrapText="1"/>
    </x:xf>
    <x:xf numFmtId="0" fontId="40" fillId="46" borderId="27" xfId="0" applyNumberFormat="1" applyFont="1" applyFill="1" applyBorder="1" applyAlignment="1">
      <x:alignment horizontal="center" vertical="center" wrapText="1"/>
    </x:xf>
    <x:xf numFmtId="0" fontId="6" fillId="40" borderId="0" xfId="0" applyNumberFormat="1" applyFont="1" applyFill="1" applyBorder="1" applyAlignment="1">
      <x:alignment horizontal="right" vertical="center" wrapText="1"/>
    </x:xf>
    <x:xf numFmtId="0" fontId="16" fillId="40" borderId="0" xfId="0" applyNumberFormat="1" applyFont="1" applyFill="1" applyBorder="1" applyAlignment="1">
      <x:alignment horizontal="right" vertical="center" wrapText="1"/>
    </x:xf>
    <x:xf numFmtId="0" fontId="16" fillId="40" borderId="0" xfId="0" applyNumberFormat="1" applyFont="1" applyFill="1" applyBorder="1" applyAlignment="1">
      <x:alignment horizontal="center" vertical="center" wrapText="1"/>
    </x:xf>
    <x:xf numFmtId="0" fontId="16" fillId="42" borderId="5" xfId="0" applyNumberFormat="1" applyFont="1" applyFill="1" applyBorder="1" applyAlignment="1">
      <x:alignment horizontal="center" vertical="center" wrapText="1"/>
    </x:xf>
    <x:xf numFmtId="0" fontId="16" fillId="42" borderId="7" xfId="0" applyNumberFormat="1" applyFont="1" applyFill="1" applyBorder="1" applyAlignment="1">
      <x:alignment horizontal="center" vertical="center" wrapText="1"/>
    </x:xf>
    <x:xf numFmtId="0" fontId="6" fillId="42" borderId="23" xfId="0" applyNumberFormat="1" applyFont="1" applyFill="1" applyBorder="1" applyAlignment="1">
      <x:alignment horizontal="center" vertical="center" wrapText="1"/>
    </x:xf>
    <x:xf numFmtId="0" fontId="6" fillId="42" borderId="24" xfId="0" applyNumberFormat="1" applyFont="1" applyFill="1" applyBorder="1" applyAlignment="1">
      <x:alignment horizontal="center" vertical="center" wrapText="1"/>
    </x:xf>
    <x:xf numFmtId="0" fontId="6" fillId="42" borderId="8" xfId="0" applyNumberFormat="1" applyFont="1" applyFill="1" applyBorder="1" applyAlignment="1">
      <x:alignment horizontal="center" vertical="center" wrapText="1"/>
    </x:xf>
    <x:xf numFmtId="0" fontId="6" fillId="42" borderId="10" xfId="0" applyNumberFormat="1" applyFont="1" applyFill="1" applyBorder="1" applyAlignment="1">
      <x:alignment horizontal="center" vertical="center" wrapText="1"/>
    </x:xf>
    <x:xf numFmtId="0" fontId="41" fillId="42" borderId="5" xfId="0" applyNumberFormat="1" applyFont="1" applyFill="1" applyBorder="1" applyAlignment="1">
      <x:alignment horizontal="center" vertical="center" wrapText="1"/>
    </x:xf>
    <x:xf numFmtId="0" fontId="41" fillId="42" borderId="7" xfId="0" applyNumberFormat="1" applyFont="1" applyFill="1" applyBorder="1" applyAlignment="1">
      <x:alignment horizontal="center" vertical="center" wrapText="1"/>
    </x:xf>
    <x:xf numFmtId="0" fontId="42" fillId="42" borderId="0" xfId="0" applyNumberFormat="1" applyFont="1" applyFill="1" applyBorder="1" applyAlignment="1">
      <x:alignment horizontal="right" vertical="center" wrapText="1"/>
    </x:xf>
    <x:xf numFmtId="0" fontId="42" fillId="42" borderId="23" xfId="0" applyNumberFormat="1" applyFont="1" applyFill="1" applyBorder="1" applyAlignment="1">
      <x:alignment horizontal="center" vertical="center" wrapText="1"/>
    </x:xf>
    <x:xf numFmtId="0" fontId="42" fillId="42" borderId="24" xfId="0" applyNumberFormat="1" applyFont="1" applyFill="1" applyBorder="1" applyAlignment="1">
      <x:alignment horizontal="center" vertical="center" wrapText="1"/>
    </x:xf>
    <x:xf numFmtId="0" fontId="42" fillId="42" borderId="8" xfId="0" applyNumberFormat="1" applyFont="1" applyFill="1" applyBorder="1" applyAlignment="1">
      <x:alignment horizontal="center" vertical="center" wrapText="1"/>
    </x:xf>
    <x:xf numFmtId="0" fontId="42" fillId="42" borderId="10" xfId="0" applyNumberFormat="1" applyFont="1" applyFill="1" applyBorder="1" applyAlignment="1">
      <x:alignment horizontal="center" vertical="center" wrapText="1"/>
    </x:xf>
    <x:xf numFmtId="0" fontId="42" fillId="42" borderId="6" xfId="0" applyNumberFormat="1" applyFont="1" applyFill="1" applyBorder="1" applyAlignment="1">
      <x:alignment horizontal="right" vertical="center" wrapText="1"/>
    </x:xf>
    <x:xf numFmtId="0" fontId="42" fillId="42" borderId="7" xfId="0" applyNumberFormat="1" applyFont="1" applyFill="1" applyBorder="1" applyAlignment="1">
      <x:alignment horizontal="right" vertical="center" wrapText="1"/>
    </x:xf>
    <x:xf numFmtId="0" fontId="42" fillId="42" xfId="0" applyNumberFormat="1" applyFont="1" applyFill="1" applyBorder="0" applyAlignment="1">
      <x:alignment horizontal="right" vertical="center" wrapText="1"/>
    </x:xf>
    <x:xf numFmtId="0" fontId="42" fillId="42" borderId="24" xfId="0" applyNumberFormat="1" applyFont="1" applyFill="1" applyBorder="1" applyAlignment="1">
      <x:alignment horizontal="right" vertical="center" wrapText="1"/>
    </x:xf>
    <x:xf numFmtId="0" fontId="42" fillId="42" borderId="23" xfId="0" applyNumberFormat="1" applyFont="1" applyFill="1" applyBorder="1" applyAlignment="1">
      <x:alignment horizontal="right" vertical="center" wrapText="1"/>
    </x:xf>
    <x:xf numFmtId="0" fontId="42" fillId="42" borderId="8" xfId="0" applyNumberFormat="1" applyFont="1" applyFill="1" applyBorder="1" applyAlignment="1">
      <x:alignment horizontal="right" vertical="center" wrapText="1"/>
    </x:xf>
    <x:xf numFmtId="0" fontId="42" fillId="42" borderId="9" xfId="0" applyNumberFormat="1" applyFont="1" applyFill="1" applyBorder="1" applyAlignment="1">
      <x:alignment horizontal="right" vertical="center" wrapText="1"/>
    </x:xf>
    <x:xf numFmtId="0" fontId="42" fillId="42" borderId="10" xfId="0" applyNumberFormat="1" applyFont="1" applyFill="1" applyBorder="1" applyAlignment="1">
      <x:alignment horizontal="right" vertical="center" wrapText="1"/>
    </x:xf>
    <x:xf numFmtId="0" fontId="42" fillId="42" borderId="6" xfId="0" applyNumberFormat="1" applyFont="1" applyFill="1" applyBorder="1" applyAlignment="1">
      <x:alignment horizontal="center" vertical="center" wrapText="1"/>
    </x:xf>
    <x:xf numFmtId="0" fontId="42" fillId="42" borderId="7" xfId="0" applyNumberFormat="1" applyFont="1" applyFill="1" applyBorder="1" applyAlignment="1">
      <x:alignment horizontal="center" vertical="center" wrapText="1"/>
    </x:xf>
    <x:xf numFmtId="0" fontId="42" fillId="42" xfId="0" applyNumberFormat="1" applyFont="1" applyFill="1" applyBorder="0" applyAlignment="1">
      <x:alignment horizontal="center" vertical="center" wrapText="1"/>
    </x:xf>
    <x:xf numFmtId="0" fontId="42" fillId="42" borderId="9" xfId="0" applyNumberFormat="1" applyFont="1" applyFill="1" applyBorder="1" applyAlignment="1">
      <x:alignment horizontal="center" vertical="center" wrapText="1"/>
    </x:xf>
    <x:xf numFmtId="209" fontId="41" fillId="42" borderId="5" xfId="0" applyNumberFormat="1" applyFont="1" applyFill="1" applyBorder="1" applyAlignment="1">
      <x:alignment horizontal="center" vertical="center" wrapText="1"/>
    </x:xf>
    <x:xf numFmtId="209" fontId="42" fillId="42" borderId="23" xfId="0" applyNumberFormat="1" applyFont="1" applyFill="1" applyBorder="1" applyAlignment="1">
      <x:alignment horizontal="center" vertical="center" wrapText="1"/>
    </x:xf>
    <x:xf numFmtId="209" fontId="42" fillId="42" borderId="8" xfId="0" applyNumberFormat="1" applyFont="1" applyFill="1" applyBorder="1" applyAlignment="1">
      <x:alignment horizontal="center" vertical="center" wrapText="1"/>
    </x:xf>
    <x:xf numFmtId="200" fontId="42" fillId="42" borderId="6" xfId="0" applyNumberFormat="1" applyFont="1" applyFill="1" applyBorder="1" applyAlignment="1">
      <x:alignment horizontal="center" vertical="center" wrapText="1"/>
    </x:xf>
    <x:xf numFmtId="200" fontId="42" fillId="42" xfId="0" applyNumberFormat="1" applyFont="1" applyFill="1" applyBorder="0" applyAlignment="1">
      <x:alignment horizontal="center" vertical="center" wrapText="1"/>
    </x:xf>
    <x:xf numFmtId="200" fontId="42" fillId="42" borderId="9" xfId="0" applyNumberFormat="1" applyFont="1" applyFill="1" applyBorder="1" applyAlignment="1">
      <x:alignment horizontal="center" vertical="center" wrapText="1"/>
    </x:xf>
    <x:xf numFmtId="0" fontId="6" fillId="42" borderId="5" xfId="0" applyNumberFormat="1" applyFont="1" applyFill="1" applyBorder="1" applyAlignment="1">
      <x:alignment horizontal="right" vertical="center" wrapText="1"/>
    </x:xf>
    <x:xf numFmtId="0" fontId="6" fillId="42" borderId="7" xfId="0" applyNumberFormat="1" applyFont="1" applyFill="1" applyBorder="1" applyAlignment="1">
      <x:alignment horizontal="right" vertical="center" wrapText="1"/>
    </x:xf>
    <x:xf numFmtId="0" fontId="6" fillId="42" borderId="23" xfId="0" applyNumberFormat="1" applyFont="1" applyFill="1" applyBorder="1" applyAlignment="1">
      <x:alignment horizontal="right" vertical="center" wrapText="1"/>
    </x:xf>
    <x:xf numFmtId="0" fontId="6" fillId="42" borderId="24" xfId="0" applyNumberFormat="1" applyFont="1" applyFill="1" applyBorder="1" applyAlignment="1">
      <x:alignment horizontal="right" vertical="center" wrapText="1"/>
    </x:xf>
    <x:xf numFmtId="0" fontId="6" fillId="42" borderId="8" xfId="0" applyNumberFormat="1" applyFont="1" applyFill="1" applyBorder="1" applyAlignment="1">
      <x:alignment horizontal="right" vertical="center" wrapText="1"/>
    </x:xf>
    <x:xf numFmtId="0" fontId="6" fillId="42" borderId="10" xfId="0" applyNumberFormat="1" applyFont="1" applyFill="1" applyBorder="1" applyAlignment="1">
      <x:alignment horizontal="right" vertical="center" wrapText="1"/>
    </x:xf>
    <x:xf numFmtId="0" fontId="6" fillId="42" borderId="5" xfId="0" applyNumberFormat="1" applyFont="1" applyFill="1" applyBorder="1" applyAlignment="1">
      <x:alignment horizontal="center" vertical="center" wrapText="1"/>
    </x:xf>
    <x:xf numFmtId="0" fontId="6" fillId="42" borderId="7" xfId="0" applyNumberFormat="1" applyFont="1" applyFill="1" applyBorder="1" applyAlignment="1">
      <x:alignment horizontal="center" vertical="center" wrapText="1"/>
    </x:xf>
    <x:xf numFmtId="0" fontId="6" fillId="40" borderId="5" xfId="0" applyNumberFormat="1" applyFont="1" applyFill="1" applyBorder="1" applyAlignment="1">
      <x:alignment horizontal="center" vertical="center" wrapText="1"/>
    </x:xf>
    <x:xf numFmtId="0" fontId="6" fillId="40" borderId="7" xfId="0" applyNumberFormat="1" applyFont="1" applyFill="1" applyBorder="1" applyAlignment="1">
      <x:alignment horizontal="center" vertical="center" wrapText="1"/>
    </x:xf>
    <x:xf numFmtId="0" fontId="16" fillId="40" borderId="5" xfId="0" applyNumberFormat="1" applyFont="1" applyFill="1" applyBorder="1" applyAlignment="1">
      <x:alignment horizontal="center" vertical="center" wrapText="1"/>
    </x:xf>
    <x:xf numFmtId="0" fontId="16" fillId="40" borderId="7" xfId="0" applyNumberFormat="1" applyFont="1" applyFill="1" applyBorder="1" applyAlignment="1">
      <x:alignment horizontal="center" vertical="center" wrapText="1"/>
    </x:xf>
    <x:xf numFmtId="0" fontId="4" fillId="40" borderId="0" xfId="0" applyNumberFormat="1" applyFont="1" applyFill="1" applyBorder="1" applyAlignment="1">
      <x:alignment horizontal="right" vertical="center" wrapText="1"/>
    </x:xf>
    <x:xf numFmtId="0" fontId="4" fillId="40" borderId="0" xfId="0" applyNumberFormat="1" applyFont="1" applyFill="1" applyBorder="1" applyAlignment="1">
      <x:alignment horizontal="center" vertical="center" wrapText="1"/>
    </x:xf>
    <x:xf numFmtId="0" fontId="6" fillId="41" borderId="0" xfId="0" applyNumberFormat="1" applyFont="1" applyFill="1" applyBorder="1" applyAlignment="1">
      <x:alignment horizontal="right" vertical="center" wrapText="1"/>
    </x:xf>
    <x:xf numFmtId="0" fontId="2" fillId="41" borderId="0" xfId="0" applyNumberFormat="1" applyFont="1" applyFill="1" applyBorder="1" applyAlignment="1">
      <x:alignment horizontal="right" vertic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36" fillId="42" borderId="0" xfId="0" applyNumberFormat="1" applyFont="1" applyFill="1" applyBorder="1" applyAlignment="1">
      <x:alignment horizontal="right" vertical="center" wrapText="1"/>
    </x:xf>
    <x:xf numFmtId="0" fontId="36" fillId="42" borderId="5" xfId="0" applyNumberFormat="1" applyFont="1" applyFill="1" applyBorder="1" applyAlignment="1">
      <x:alignment horizontal="right" vertical="center" wrapText="1"/>
    </x:xf>
    <x:xf numFmtId="0" fontId="36" fillId="42" borderId="6" xfId="0" applyNumberFormat="1" applyFont="1" applyFill="1" applyBorder="1" applyAlignment="1">
      <x:alignment horizontal="right" vertical="center" wrapText="1"/>
    </x:xf>
    <x:xf numFmtId="0" fontId="36" fillId="42" borderId="7" xfId="0" applyNumberFormat="1" applyFont="1" applyFill="1" applyBorder="1" applyAlignment="1">
      <x:alignment horizontal="right" vertical="center" wrapText="1"/>
    </x:xf>
    <x:xf numFmtId="0" fontId="36" fillId="42" borderId="23" xfId="0" applyNumberFormat="1" applyFont="1" applyFill="1" applyBorder="1" applyAlignment="1">
      <x:alignment horizontal="right" vertical="center" wrapText="1"/>
    </x:xf>
    <x:xf numFmtId="0" fontId="36" fillId="42" xfId="0" applyNumberFormat="1" applyFont="1" applyFill="1" applyBorder="0" applyAlignment="1">
      <x:alignment horizontal="right" vertical="center" wrapText="1"/>
    </x:xf>
    <x:xf numFmtId="0" fontId="36" fillId="42" borderId="24" xfId="0" applyNumberFormat="1" applyFont="1" applyFill="1" applyBorder="1" applyAlignment="1">
      <x:alignment horizontal="right" vertical="center" wrapText="1"/>
    </x:xf>
    <x:xf numFmtId="0" fontId="36" fillId="42" borderId="8" xfId="0" applyNumberFormat="1" applyFont="1" applyFill="1" applyBorder="1" applyAlignment="1">
      <x:alignment horizontal="right" vertical="center" wrapText="1"/>
    </x:xf>
    <x:xf numFmtId="0" fontId="36" fillId="42" borderId="9" xfId="0" applyNumberFormat="1" applyFont="1" applyFill="1" applyBorder="1" applyAlignment="1">
      <x:alignment horizontal="right" vertical="center" wrapText="1"/>
    </x:xf>
    <x:xf numFmtId="0" fontId="36" fillId="42" borderId="10" xfId="0" applyNumberFormat="1" applyFont="1" applyFill="1" applyBorder="1" applyAlignment="1">
      <x:alignment horizontal="right" vertical="center" wrapText="1"/>
    </x:xf>
    <x:xf numFmtId="0" fontId="36" fillId="42" borderId="24" xfId="0" applyNumberFormat="1" applyFont="1" applyFill="1" applyBorder="1" applyAlignment="1">
      <x:alignment horizontal="center" vertical="center" wrapText="1"/>
    </x:xf>
    <x:xf numFmtId="0" fontId="6" fillId="47" borderId="0" xfId="0" applyNumberFormat="1" applyFont="1" applyFill="1" applyBorder="1" applyAlignment="1">
      <x:alignment horizontal="right" vertical="center" wrapText="1"/>
    </x:xf>
    <x:xf numFmtId="0" fontId="2" fillId="47" borderId="0" xfId="0" applyNumberFormat="1" applyFont="1" applyFill="1" applyBorder="1" applyAlignment="1">
      <x:alignment horizontal="right" vertical="center" wrapText="1"/>
    </x:xf>
    <x:xf numFmtId="0" fontId="2" fillId="47" borderId="0" xfId="0" applyNumberFormat="1" applyFont="1" applyFill="1" applyBorder="1" applyAlignment="1">
      <x:alignment horizontal="center" vertical="center" wrapText="1"/>
    </x:xf>
    <x:xf numFmtId="0" fontId="43" fillId="42" borderId="0" xfId="0" applyNumberFormat="1" applyFont="1" applyFill="1" applyBorder="1" applyAlignment="1">
      <x:alignment horizontal="right" vertical="center" wrapText="1"/>
    </x:xf>
    <x:xf numFmtId="0" fontId="43" fillId="42" borderId="5" xfId="0" applyNumberFormat="1" applyFont="1" applyFill="1" applyBorder="1" applyAlignment="1">
      <x:alignment horizontal="right" vertical="center" wrapText="1"/>
    </x:xf>
    <x:xf numFmtId="0" fontId="43" fillId="42" borderId="6" xfId="0" applyNumberFormat="1" applyFont="1" applyFill="1" applyBorder="1" applyAlignment="1">
      <x:alignment horizontal="right" vertical="center" wrapText="1"/>
    </x:xf>
    <x:xf numFmtId="0" fontId="43" fillId="42" borderId="7" xfId="0" applyNumberFormat="1" applyFont="1" applyFill="1" applyBorder="1" applyAlignment="1">
      <x:alignment horizontal="right" vertical="center" wrapText="1"/>
    </x:xf>
    <x:xf numFmtId="0" fontId="43" fillId="42" borderId="23" xfId="0" applyNumberFormat="1" applyFont="1" applyFill="1" applyBorder="1" applyAlignment="1">
      <x:alignment horizontal="right" vertical="center" wrapText="1"/>
    </x:xf>
    <x:xf numFmtId="0" fontId="43" fillId="42" xfId="0" applyNumberFormat="1" applyFont="1" applyFill="1" applyBorder="0" applyAlignment="1">
      <x:alignment horizontal="right" vertical="center" wrapText="1"/>
    </x:xf>
    <x:xf numFmtId="0" fontId="43" fillId="42" borderId="24" xfId="0" applyNumberFormat="1" applyFont="1" applyFill="1" applyBorder="1" applyAlignment="1">
      <x:alignment horizontal="right" vertical="center" wrapText="1"/>
    </x:xf>
    <x:xf numFmtId="0" fontId="43" fillId="42" borderId="8" xfId="0" applyNumberFormat="1" applyFont="1" applyFill="1" applyBorder="1" applyAlignment="1">
      <x:alignment horizontal="right" vertical="center" wrapText="1"/>
    </x:xf>
    <x:xf numFmtId="0" fontId="43" fillId="42" borderId="9" xfId="0" applyNumberFormat="1" applyFont="1" applyFill="1" applyBorder="1" applyAlignment="1">
      <x:alignment horizontal="right" vertical="center" wrapText="1"/>
    </x:xf>
    <x:xf numFmtId="0" fontId="43" fillId="42" borderId="10" xfId="0" applyNumberFormat="1" applyFont="1" applyFill="1" applyBorder="1" applyAlignment="1">
      <x:alignment horizontal="right" vertical="center" wrapText="1"/>
    </x:xf>
    <x:xf numFmtId="0" fontId="43" fillId="42" borderId="5" xfId="0" applyNumberFormat="1" applyFont="1" applyFill="1" applyBorder="1" applyAlignment="1">
      <x:alignment horizontal="center" vertical="center" wrapText="1"/>
    </x:xf>
    <x:xf numFmtId="0" fontId="43" fillId="42" borderId="6" xfId="0" applyNumberFormat="1" applyFont="1" applyFill="1" applyBorder="1" applyAlignment="1">
      <x:alignment horizontal="center" vertical="center" wrapText="1"/>
    </x:xf>
    <x:xf numFmtId="0" fontId="43" fillId="42" borderId="7" xfId="0" applyNumberFormat="1" applyFont="1" applyFill="1" applyBorder="1" applyAlignment="1">
      <x:alignment horizontal="center" vertical="center" wrapText="1"/>
    </x:xf>
    <x:xf numFmtId="0" fontId="43" fillId="42" borderId="23" xfId="0" applyNumberFormat="1" applyFont="1" applyFill="1" applyBorder="1" applyAlignment="1">
      <x:alignment horizontal="center" vertical="center" wrapText="1"/>
    </x:xf>
    <x:xf numFmtId="0" fontId="43" fillId="42" xfId="0" applyNumberFormat="1" applyFont="1" applyFill="1" applyBorder="0" applyAlignment="1">
      <x:alignment horizontal="center" vertical="center" wrapText="1"/>
    </x:xf>
    <x:xf numFmtId="0" fontId="43" fillId="42" borderId="24" xfId="0" applyNumberFormat="1" applyFont="1" applyFill="1" applyBorder="1" applyAlignment="1">
      <x:alignment horizontal="center" vertical="center" wrapText="1"/>
    </x:xf>
    <x:xf numFmtId="0" fontId="43" fillId="42" borderId="8" xfId="0" applyNumberFormat="1" applyFont="1" applyFill="1" applyBorder="1" applyAlignment="1">
      <x:alignment horizontal="center" vertical="center" wrapText="1"/>
    </x:xf>
    <x:xf numFmtId="0" fontId="43" fillId="42" borderId="9" xfId="0" applyNumberFormat="1" applyFont="1" applyFill="1" applyBorder="1" applyAlignment="1">
      <x:alignment horizontal="center" vertical="center" wrapText="1"/>
    </x:xf>
    <x:xf numFmtId="0" fontId="43" fillId="42" borderId="10" xfId="0" applyNumberFormat="1" applyFont="1" applyFill="1" applyBorder="1" applyAlignment="1">
      <x:alignment horizontal="center" vertical="center" wrapText="1"/>
    </x:xf>
    <x:xf numFmtId="200" fontId="43" fillId="42" borderId="5" xfId="0" applyNumberFormat="1" applyFont="1" applyFill="1" applyBorder="1" applyAlignment="1">
      <x:alignment horizontal="center" vertical="center" wrapText="1"/>
    </x:xf>
    <x:xf numFmtId="0" fontId="6" fillId="48" borderId="0" xfId="0" applyNumberFormat="1" applyFont="1" applyFill="1" applyBorder="1" applyAlignment="1">
      <x:alignment horizontal="right" vertical="center" wrapText="1"/>
    </x:xf>
    <x:xf numFmtId="0" fontId="2" fillId="48" borderId="0" xfId="0" applyNumberFormat="1" applyFont="1" applyFill="1" applyBorder="1" applyAlignment="1">
      <x:alignment horizontal="right" vertical="center" wrapText="1"/>
    </x:xf>
    <x:xf numFmtId="0" fontId="2" fillId="48" borderId="0" xfId="0" applyNumberFormat="1" applyFont="1" applyFill="1" applyBorder="1" applyAlignment="1">
      <x:alignment horizontal="center" vertical="center" wrapText="1"/>
    </x:xf>
    <x:xf numFmtId="0" fontId="44" fillId="42" borderId="0" xfId="0" applyNumberFormat="1" applyFont="1" applyFill="1" applyBorder="1" applyAlignment="1">
      <x:alignment horizontal="right" vertical="center" wrapText="1"/>
    </x:xf>
    <x:xf numFmtId="0" fontId="44" fillId="42" borderId="5" xfId="0" applyNumberFormat="1" applyFont="1" applyFill="1" applyBorder="1" applyAlignment="1">
      <x:alignment horizontal="right" vertical="center" wrapText="1"/>
    </x:xf>
    <x:xf numFmtId="0" fontId="44" fillId="42" borderId="6" xfId="0" applyNumberFormat="1" applyFont="1" applyFill="1" applyBorder="1" applyAlignment="1">
      <x:alignment horizontal="right" vertical="center" wrapText="1"/>
    </x:xf>
    <x:xf numFmtId="0" fontId="44" fillId="42" borderId="7" xfId="0" applyNumberFormat="1" applyFont="1" applyFill="1" applyBorder="1" applyAlignment="1">
      <x:alignment horizontal="right" vertical="center" wrapText="1"/>
    </x:xf>
    <x:xf numFmtId="0" fontId="44" fillId="42" borderId="23" xfId="0" applyNumberFormat="1" applyFont="1" applyFill="1" applyBorder="1" applyAlignment="1">
      <x:alignment horizontal="right" vertical="center" wrapText="1"/>
    </x:xf>
    <x:xf numFmtId="0" fontId="44" fillId="42" xfId="0" applyNumberFormat="1" applyFont="1" applyFill="1" applyBorder="0" applyAlignment="1">
      <x:alignment horizontal="right" vertical="center" wrapText="1"/>
    </x:xf>
    <x:xf numFmtId="0" fontId="44" fillId="42" borderId="24" xfId="0" applyNumberFormat="1" applyFont="1" applyFill="1" applyBorder="1" applyAlignment="1">
      <x:alignment horizontal="right" vertical="center" wrapText="1"/>
    </x:xf>
    <x:xf numFmtId="0" fontId="44" fillId="42" borderId="8" xfId="0" applyNumberFormat="1" applyFont="1" applyFill="1" applyBorder="1" applyAlignment="1">
      <x:alignment horizontal="right" vertical="center" wrapText="1"/>
    </x:xf>
    <x:xf numFmtId="0" fontId="44" fillId="42" borderId="9" xfId="0" applyNumberFormat="1" applyFont="1" applyFill="1" applyBorder="1" applyAlignment="1">
      <x:alignment horizontal="right" vertical="center" wrapText="1"/>
    </x:xf>
    <x:xf numFmtId="0" fontId="44" fillId="42" borderId="10" xfId="0" applyNumberFormat="1" applyFont="1" applyFill="1" applyBorder="1" applyAlignment="1">
      <x:alignment horizontal="right" vertical="center" wrapText="1"/>
    </x:xf>
    <x:xf numFmtId="0" fontId="44" fillId="42" borderId="5" xfId="0" applyNumberFormat="1" applyFont="1" applyFill="1" applyBorder="1" applyAlignment="1">
      <x:alignment horizontal="center" vertical="center" wrapText="1"/>
    </x:xf>
    <x:xf numFmtId="0" fontId="44" fillId="42" borderId="6" xfId="0" applyNumberFormat="1" applyFont="1" applyFill="1" applyBorder="1" applyAlignment="1">
      <x:alignment horizontal="center" vertical="center" wrapText="1"/>
    </x:xf>
    <x:xf numFmtId="0" fontId="44" fillId="42" borderId="7" xfId="0" applyNumberFormat="1" applyFont="1" applyFill="1" applyBorder="1" applyAlignment="1">
      <x:alignment horizontal="center" vertical="center" wrapText="1"/>
    </x:xf>
    <x:xf numFmtId="0" fontId="44" fillId="42" borderId="23" xfId="0" applyNumberFormat="1" applyFont="1" applyFill="1" applyBorder="1" applyAlignment="1">
      <x:alignment horizontal="center" vertical="center" wrapText="1"/>
    </x:xf>
    <x:xf numFmtId="0" fontId="44" fillId="42" xfId="0" applyNumberFormat="1" applyFont="1" applyFill="1" applyBorder="0" applyAlignment="1">
      <x:alignment horizontal="center" vertical="center" wrapText="1"/>
    </x:xf>
    <x:xf numFmtId="0" fontId="44" fillId="42" borderId="24" xfId="0" applyNumberFormat="1" applyFont="1" applyFill="1" applyBorder="1" applyAlignment="1">
      <x:alignment horizontal="center" vertical="center" wrapText="1"/>
    </x:xf>
    <x:xf numFmtId="0" fontId="44" fillId="42" borderId="8" xfId="0" applyNumberFormat="1" applyFont="1" applyFill="1" applyBorder="1" applyAlignment="1">
      <x:alignment horizontal="center" vertical="center" wrapText="1"/>
    </x:xf>
    <x:xf numFmtId="0" fontId="44" fillId="42" borderId="9" xfId="0" applyNumberFormat="1" applyFont="1" applyFill="1" applyBorder="1" applyAlignment="1">
      <x:alignment horizontal="center" vertical="center" wrapText="1"/>
    </x:xf>
    <x:xf numFmtId="0" fontId="44" fillId="42" borderId="10" xfId="0" applyNumberFormat="1" applyFont="1" applyFill="1" applyBorder="1" applyAlignment="1">
      <x:alignment horizontal="center" vertical="center" wrapText="1"/>
    </x:xf>
    <x:xf numFmtId="208" fontId="44" fillId="42" borderId="5" xfId="0" applyNumberFormat="1" applyFont="1" applyFill="1" applyBorder="1" applyAlignment="1">
      <x:alignment horizontal="center" vertical="center" wrapText="1"/>
    </x:xf>
    <x:xf numFmtId="0" fontId="38" fillId="42" borderId="6" xfId="0" applyNumberFormat="1" applyFont="1" applyFill="1" applyBorder="1" applyAlignment="1">
      <x:alignment horizontal="right" vertical="center" wrapText="1"/>
    </x:xf>
    <x:xf numFmtId="0" fontId="38" fillId="42" borderId="7" xfId="0" applyNumberFormat="1" applyFont="1" applyFill="1" applyBorder="1" applyAlignment="1">
      <x:alignment horizontal="right" vertical="center" wrapText="1"/>
    </x:xf>
    <x:xf numFmtId="0" fontId="38" fillId="42" borderId="23" xfId="0" applyNumberFormat="1" applyFont="1" applyFill="1" applyBorder="1" applyAlignment="1">
      <x:alignment horizontal="right" vertical="center" wrapText="1"/>
    </x:xf>
    <x:xf numFmtId="0" fontId="38" fillId="42" xfId="0" applyNumberFormat="1" applyFont="1" applyFill="1" applyBorder="0" applyAlignment="1">
      <x:alignment horizontal="right" vertical="center" wrapText="1"/>
    </x:xf>
    <x:xf numFmtId="0" fontId="38" fillId="42" borderId="24" xfId="0" applyNumberFormat="1" applyFont="1" applyFill="1" applyBorder="1" applyAlignment="1">
      <x:alignment horizontal="right" vertical="center" wrapText="1"/>
    </x:xf>
    <x:xf numFmtId="0" fontId="38" fillId="42" borderId="9" xfId="0" applyNumberFormat="1" applyFont="1" applyFill="1" applyBorder="1" applyAlignment="1">
      <x:alignment horizontal="right" vertical="center" wrapText="1"/>
    </x:xf>
    <x:xf numFmtId="0" fontId="38" fillId="42" borderId="10" xfId="0" applyNumberFormat="1" applyFont="1" applyFill="1" applyBorder="1" applyAlignment="1">
      <x:alignment horizontal="right" vertical="center" wrapText="1"/>
    </x:xf>
    <x:xf numFmtId="0" fontId="38" fillId="42" borderId="24" xfId="0" applyNumberFormat="1" applyFont="1" applyFill="1" applyBorder="1" applyAlignment="1">
      <x:alignment horizontal="center" vertical="center" wrapText="1"/>
    </x:xf>
    <x:xf numFmtId="0" fontId="6" fillId="46" borderId="0" xfId="0" applyNumberFormat="1" applyFont="1" applyFill="1" applyBorder="1" applyAlignment="1">
      <x:alignment horizontal="right" vertical="center" wrapText="1"/>
    </x:xf>
    <x:xf numFmtId="0" fontId="40" fillId="46" borderId="0" xfId="0" applyNumberFormat="1" applyFont="1" applyFill="1" applyBorder="1" applyAlignment="1">
      <x:alignment horizontal="right" vertical="center" wrapText="1"/>
    </x:xf>
    <x:xf numFmtId="0" fontId="16" fillId="41" borderId="5" xfId="0" applyNumberFormat="1" applyFont="1" applyFill="1" applyBorder="1" applyAlignment="1">
      <x:alignment horizontal="center" vertical="center" wrapText="1"/>
    </x:xf>
    <x:xf numFmtId="0" fontId="16" fillId="41" borderId="6" xfId="0" applyNumberFormat="1" applyFont="1" applyFill="1" applyBorder="1" applyAlignment="1">
      <x:alignment horizontal="center" vertical="center" wrapText="1"/>
    </x:xf>
    <x:xf numFmtId="0" fontId="16" fillId="43" borderId="6" xfId="0" applyNumberFormat="1" applyFont="1" applyFill="1" applyBorder="1" applyAlignment="1">
      <x:alignment horizontal="center" vertical="center" wrapText="1"/>
    </x:xf>
    <x:xf numFmtId="0" fontId="16" fillId="43" borderId="7" xfId="0" applyNumberFormat="1" applyFont="1" applyFill="1" applyBorder="1" applyAlignment="1">
      <x:alignment horizontal="center" vertical="center" wrapText="1"/>
    </x:xf>
    <x:xf numFmtId="0" fontId="16" fillId="44" borderId="0" xfId="0" applyNumberFormat="1" applyFont="1" applyFill="1" applyBorder="1" applyAlignment="1">
      <x:alignment horizontal="center" vertical="center" wrapText="1"/>
    </x:xf>
    <x:xf numFmtId="0" fontId="16" fillId="44" borderId="5" xfId="0" applyNumberFormat="1" applyFont="1" applyFill="1" applyBorder="1" applyAlignment="1">
      <x:alignment horizontal="center" vertical="center" wrapText="1"/>
    </x:xf>
    <x:xf numFmtId="0" fontId="16" fillId="44" borderId="6" xfId="0" applyNumberFormat="1" applyFont="1" applyFill="1" applyBorder="1" applyAlignment="1">
      <x:alignment horizontal="center" vertical="center" wrapText="1"/>
    </x:xf>
    <x:xf numFmtId="0" fontId="16" fillId="45" borderId="6" xfId="0" applyNumberFormat="1" applyFont="1" applyFill="1" applyBorder="1" applyAlignment="1">
      <x:alignment horizontal="center" vertical="center" wrapText="1"/>
    </x:xf>
    <x:xf numFmtId="0" fontId="16" fillId="45" borderId="7" xfId="0" applyNumberFormat="1" applyFont="1" applyFill="1" applyBorder="1" applyAlignment="1">
      <x:alignment horizontal="center" vertical="center" wrapText="1"/>
    </x:xf>
    <x:xf numFmtId="208" fontId="19" fillId="42" borderId="5" xfId="0" applyNumberFormat="1" applyFont="1" applyFill="1" applyBorder="1" applyAlignment="1">
      <x:alignment horizontal="center" vertical="center" wrapText="1"/>
    </x:xf>
    <x:xf numFmtId="0" fontId="19" fillId="42" borderId="6" xfId="0" applyNumberFormat="1" applyFont="1" applyFill="1" applyBorder="1" applyAlignment="1">
      <x:alignment horizontal="center" vertical="center" wrapText="1"/>
    </x:xf>
    <x:xf numFmtId="0" fontId="19" fillId="42" borderId="7" xfId="0" applyNumberFormat="1" applyFont="1" applyFill="1" applyBorder="1" applyAlignment="1">
      <x:alignment horizontal="center" vertical="center" wrapText="1"/>
    </x:xf>
    <x:xf numFmtId="203" fontId="17" fillId="42" borderId="5" xfId="0" applyNumberFormat="1" applyFont="1" applyFill="1" applyBorder="1" applyAlignment="1">
      <x:alignment horizontal="center" vertical="center" wrapText="1"/>
    </x:xf>
    <x:xf numFmtId="0" fontId="17" fillId="42" borderId="6" xfId="0" applyNumberFormat="1" applyFont="1" applyFill="1" applyBorder="1" applyAlignment="1">
      <x:alignment horizontal="center" vertical="center" wrapText="1"/>
    </x:xf>
    <x:xf numFmtId="0" fontId="17" fillId="42" borderId="7" xfId="0" applyNumberFormat="1" applyFont="1" applyFill="1" applyBorder="1" applyAlignment="1">
      <x:alignment horizontal="center" vertical="center" wrapText="1"/>
    </x:xf>
    <x:xf numFmtId="200" fontId="21" fillId="42" borderId="5" xfId="0" applyNumberFormat="1" applyFont="1" applyFill="1" applyBorder="1" applyAlignment="1">
      <x:alignment horizontal="center" vertical="center" wrapText="1"/>
    </x:xf>
    <x:xf numFmtId="0" fontId="21" fillId="42" borderId="5" xfId="0" applyNumberFormat="1" applyFont="1" applyFill="1" applyBorder="1" applyAlignment="1">
      <x:alignment horizontal="center" vertical="center" wrapText="1"/>
    </x:xf>
    <x:xf numFmtId="0" fontId="21" fillId="42" borderId="6" xfId="0" applyNumberFormat="1" applyFont="1" applyFill="1" applyBorder="1" applyAlignment="1">
      <x:alignment horizontal="center" vertical="center" wrapText="1"/>
    </x:xf>
    <x:xf numFmtId="0" fontId="21" fillId="42" borderId="7" xfId="0" applyNumberFormat="1" applyFont="1" applyFill="1" applyBorder="1" applyAlignment="1">
      <x:alignment horizontal="center" vertical="center" wrapText="1"/>
    </x:xf>
    <x:xf numFmtId="208" fontId="22" fillId="42" borderId="5" xfId="0" applyNumberFormat="1" applyFont="1" applyFill="1" applyBorder="1" applyAlignment="1">
      <x:alignment horizontal="center" vertical="center" wrapText="1"/>
    </x:xf>
    <x:xf numFmtId="0" fontId="22" fillId="42" borderId="6" xfId="0" applyNumberFormat="1" applyFont="1" applyFill="1" applyBorder="1" applyAlignment="1">
      <x:alignment horizontal="center" vertical="center" wrapText="1"/>
    </x:xf>
    <x:xf numFmtId="0" fontId="22" fillId="42" borderId="7" xfId="0" applyNumberFormat="1" applyFont="1" applyFill="1" applyBorder="1" applyAlignment="1">
      <x:alignment horizontal="center" vertical="center" wrapText="1"/>
    </x:xf>
    <x:xf numFmtId="0" fontId="19" fillId="42" borderId="8" xfId="0" applyNumberFormat="1" applyFont="1" applyFill="1" applyBorder="1" applyAlignment="1">
      <x:alignment horizontal="center" vertical="center" wrapText="1"/>
    </x:xf>
    <x:xf numFmtId="0" fontId="19" fillId="42" borderId="9" xfId="0" applyNumberFormat="1" applyFont="1" applyFill="1" applyBorder="1" applyAlignment="1">
      <x:alignment horizontal="center" vertical="center" wrapText="1"/>
    </x:xf>
    <x:xf numFmtId="0" fontId="19" fillId="42" borderId="10" xfId="0" applyNumberFormat="1" applyFont="1" applyFill="1" applyBorder="1" applyAlignment="1">
      <x:alignment horizontal="center" vertical="center" wrapText="1"/>
    </x:xf>
    <x:xf numFmtId="0" fontId="17" fillId="42" borderId="8" xfId="0" applyNumberFormat="1" applyFont="1" applyFill="1" applyBorder="1" applyAlignment="1">
      <x:alignment horizontal="center" vertical="center" wrapText="1"/>
    </x:xf>
    <x:xf numFmtId="0" fontId="17" fillId="42" borderId="9" xfId="0" applyNumberFormat="1" applyFont="1" applyFill="1" applyBorder="1" applyAlignment="1">
      <x:alignment horizontal="center" vertical="center" wrapText="1"/>
    </x:xf>
    <x:xf numFmtId="0" fontId="17" fillId="42" borderId="10" xfId="0" applyNumberFormat="1" applyFont="1" applyFill="1" applyBorder="1" applyAlignment="1">
      <x:alignment horizontal="center" vertical="center" wrapText="1"/>
    </x:xf>
    <x:xf numFmtId="0" fontId="21" fillId="42" borderId="8" xfId="0" applyNumberFormat="1" applyFont="1" applyFill="1" applyBorder="1" applyAlignment="1">
      <x:alignment horizontal="center" vertical="center" wrapText="1"/>
    </x:xf>
    <x:xf numFmtId="0" fontId="21" fillId="42" borderId="9" xfId="0" applyNumberFormat="1" applyFont="1" applyFill="1" applyBorder="1" applyAlignment="1">
      <x:alignment horizontal="center" vertical="center" wrapText="1"/>
    </x:xf>
    <x:xf numFmtId="0" fontId="21" fillId="42" borderId="10" xfId="0" applyNumberFormat="1" applyFont="1" applyFill="1" applyBorder="1" applyAlignment="1">
      <x:alignment horizontal="center" vertical="center" wrapText="1"/>
    </x:xf>
    <x:xf numFmtId="0" fontId="22" fillId="42" borderId="8" xfId="0" applyNumberFormat="1" applyFont="1" applyFill="1" applyBorder="1" applyAlignment="1">
      <x:alignment horizontal="center" vertical="center" wrapText="1"/>
    </x:xf>
    <x:xf numFmtId="0" fontId="22" fillId="42" borderId="9" xfId="0" applyNumberFormat="1" applyFont="1" applyFill="1" applyBorder="1" applyAlignment="1">
      <x:alignment horizontal="center" vertical="center" wrapText="1"/>
    </x:xf>
    <x:xf numFmtId="0" fontId="22" fillId="42" borderId="10" xfId="0" applyNumberFormat="1" applyFont="1" applyFill="1" applyBorder="1" applyAlignment="1">
      <x:alignment horizontal="center" vertical="center" wrapText="1"/>
    </x:xf>
    <x:xf numFmtId="0" fontId="17" fillId="46" borderId="25" xfId="0" applyNumberFormat="1" applyFont="1" applyFill="1" applyBorder="1" applyAlignment="1">
      <x:alignment horizontal="center" vertical="center" wrapText="1"/>
    </x:xf>
    <x:xf numFmtId="0" fontId="17" fillId="46" borderId="26" xfId="0" applyNumberFormat="1" applyFont="1" applyFill="1" applyBorder="1" applyAlignment="1">
      <x:alignment horizontal="center" vertical="center" wrapText="1"/>
    </x:xf>
    <x:xf numFmtId="0" fontId="17" fillId="46" borderId="27" xfId="0" applyNumberFormat="1" applyFont="1" applyFill="1" applyBorder="1" applyAlignment="1">
      <x:alignment horizontal="center" vertical="center" wrapText="1"/>
    </x:xf>
    <x:xf numFmtId="202" fontId="28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209" fontId="23" fillId="42" borderId="5" xfId="0" applyNumberFormat="1" applyFont="1" applyFill="1" applyBorder="1" applyAlignment="1">
      <x:alignment horizontal="center" vertical="center" wrapText="1"/>
    </x:xf>
    <x:xf numFmtId="0" fontId="23" fillId="42" borderId="7" xfId="0" applyNumberFormat="1" applyFont="1" applyFill="1" applyBorder="1" applyAlignment="1">
      <x:alignment horizontal="center" vertical="center" wrapText="1"/>
    </x:xf>
    <x:xf numFmtId="0" fontId="6" fillId="42" borderId="6" xfId="0" applyNumberFormat="1" applyFont="1" applyFill="1" applyBorder="1" applyAlignment="1">
      <x:alignment horizontal="center" vertical="center" wrapText="1"/>
    </x:xf>
    <x:xf numFmtId="200" fontId="6" fillId="42" borderId="6" xfId="0" applyNumberFormat="1" applyFont="1" applyFill="1" applyBorder="1" applyAlignment="1">
      <x:alignment horizontal="center" vertical="center" wrapText="1"/>
    </x:xf>
    <x:xf numFmtId="209" fontId="6" fillId="42" borderId="23" xfId="0" applyNumberFormat="1" applyFont="1" applyFill="1" applyBorder="1" applyAlignment="1">
      <x:alignment horizontal="center"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200" fontId="6" fillId="42" xfId="0" applyNumberFormat="1" applyFont="1" applyFill="1" applyBorder="0" applyAlignment="1">
      <x:alignment horizontal="center" vertical="center" wrapText="1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16" fillId="13" borderId="0" xfId="0" applyNumberFormat="1" applyFont="1" applyFill="1" applyBorder="1" applyAlignment="1">
      <x:alignment horizontal="center" vertical="center" wrapText="1"/>
    </x:xf>
    <x:xf numFmtId="209" fontId="6" fillId="42" borderId="8" xfId="0" applyNumberFormat="1" applyFont="1" applyFill="1" applyBorder="1" applyAlignment="1">
      <x:alignment horizontal="center" vertical="center" wrapText="1"/>
    </x:xf>
    <x:xf numFmtId="208" fontId="19" fillId="9" borderId="5" xfId="0" applyNumberFormat="1" applyFont="1" applyFill="1" applyBorder="1" applyAlignment="1">
      <x:alignment horizontal="center" vertical="center" wrapText="1"/>
    </x:xf>
    <x:xf numFmtId="208" fontId="17" fillId="9" borderId="5" xfId="0" applyNumberFormat="1" applyFont="1" applyFill="1" applyBorder="1" applyAlignment="1">
      <x:alignment horizontal="center" vertical="center" wrapText="1"/>
    </x:xf>
    <x:xf numFmtId="200" fontId="21" fillId="9" borderId="5" xfId="0" applyNumberFormat="1" applyFont="1" applyFill="1" applyBorder="1" applyAlignment="1">
      <x:alignment horizontal="center" vertical="center" wrapText="1"/>
    </x:xf>
    <x:xf numFmtId="208" fontId="22" fillId="9" borderId="5" xfId="0" applyNumberFormat="1" applyFont="1" applyFill="1" applyBorder="1" applyAlignment="1">
      <x:alignment horizontal="center" vertical="center" wrapText="1"/>
    </x:xf>
    <x:xf numFmtId="200" fontId="45" fillId="9" borderId="5" xfId="0" applyNumberFormat="1" applyFont="1" applyFill="1" applyBorder="1" applyAlignment="1">
      <x:alignment horizontal="center" vertical="center" wrapText="1"/>
    </x:xf>
    <x:xf numFmtId="0" fontId="45" fillId="9" borderId="6" xfId="0" applyNumberFormat="1" applyFont="1" applyFill="1" applyBorder="1" applyAlignment="1">
      <x:alignment horizontal="center" vertical="center" wrapText="1"/>
    </x:xf>
    <x:xf numFmtId="0" fontId="45" fillId="9" borderId="7" xfId="0" applyNumberFormat="1" applyFont="1" applyFill="1" applyBorder="1" applyAlignment="1">
      <x:alignment horizontal="center" vertical="center" wrapText="1"/>
    </x:xf>
    <x:xf numFmtId="0" fontId="45" fillId="9" borderId="8" xfId="0" applyNumberFormat="1" applyFont="1" applyFill="1" applyBorder="1" applyAlignment="1">
      <x:alignment horizontal="center" vertical="center" wrapText="1"/>
    </x:xf>
    <x:xf numFmtId="0" fontId="45" fillId="9" borderId="9" xfId="0" applyNumberFormat="1" applyFont="1" applyFill="1" applyBorder="1" applyAlignment="1">
      <x:alignment horizontal="center" vertical="center" wrapText="1"/>
    </x:xf>
    <x:xf numFmtId="0" fontId="45" fillId="9" borderId="10" xfId="0" applyNumberFormat="1" applyFont="1" applyFill="1" applyBorder="1" applyAlignment="1">
      <x:alignment horizontal="center" vertical="center" wrapText="1"/>
    </x:xf>
    <x:xf numFmtId="0" fontId="6" fillId="42" borderId="9" xfId="0" applyNumberFormat="1" applyFont="1" applyFill="1" applyBorder="1" applyAlignment="1">
      <x:alignment horizontal="center" vertical="center" wrapText="1"/>
    </x:xf>
    <x:xf numFmtId="200" fontId="6" fillId="42" borderId="9" xfId="0" applyNumberFormat="1" applyFont="1" applyFill="1" applyBorder="1" applyAlignment="1">
      <x:alignment horizontal="center" vertical="center" wrapText="1"/>
    </x:xf>
    <x:xf numFmtId="0" fontId="16" fillId="36" borderId="0" xfId="0" applyNumberFormat="1" applyFont="1" applyFill="1" applyBorder="1" applyAlignment="1">
      <x:alignment horizontal="center" vertical="center" wrapText="1"/>
    </x:xf>
    <x:xf numFmtId="203" fontId="17" fillId="9" borderId="5" xfId="0" applyNumberFormat="1" applyFont="1" applyFill="1" applyBorder="1" applyAlignment="1">
      <x:alignment horizontal="center" vertical="center" wrapText="1"/>
    </x:xf>
    <x:xf numFmtId="207" fontId="22" fillId="9" borderId="5" xfId="0" applyNumberFormat="1" applyFont="1" applyFill="1" applyBorder="1" applyAlignment="1">
      <x:alignment horizontal="center" vertical="center" wrapText="1"/>
    </x:xf>
    <x:xf numFmtId="208" fontId="18" fillId="9" borderId="5" xfId="0" applyNumberFormat="1" applyFont="1" applyFill="1" applyBorder="1" applyAlignment="1">
      <x:alignment horizontal="center" vertical="center" wrapText="1"/>
    </x:xf>
    <x:xf numFmtId="0" fontId="18" fillId="9" borderId="6" xfId="0" applyNumberFormat="1" applyFont="1" applyFill="1" applyBorder="1" applyAlignment="1">
      <x:alignment horizontal="center" vertical="center" wrapText="1"/>
    </x:xf>
    <x:xf numFmtId="0" fontId="18" fillId="9" borderId="7" xfId="0" applyNumberFormat="1" applyFont="1" applyFill="1" applyBorder="1" applyAlignment="1">
      <x:alignment horizontal="center" vertical="center" wrapText="1"/>
    </x:xf>
    <x:xf numFmtId="0" fontId="18" fillId="9" borderId="8" xfId="0" applyNumberFormat="1" applyFont="1" applyFill="1" applyBorder="1" applyAlignment="1">
      <x:alignment horizontal="center" vertical="center" wrapText="1"/>
    </x:xf>
    <x:xf numFmtId="0" fontId="18" fillId="9" borderId="9" xfId="0" applyNumberFormat="1" applyFont="1" applyFill="1" applyBorder="1" applyAlignment="1">
      <x:alignment horizontal="center" vertical="center" wrapText="1"/>
    </x:xf>
    <x:xf numFmtId="0" fontId="18" fillId="9" borderId="10" xfId="0" applyNumberFormat="1" applyFont="1" applyFill="1" applyBorder="1" applyAlignment="1">
      <x:alignment horizontal="center" vertical="center" wrapText="1"/>
    </x:xf>
    <x:xf numFmtId="0" fontId="16" fillId="41" borderId="0" xfId="0" applyNumberFormat="1" applyFont="1" applyFill="1" applyBorder="1" applyAlignment="1">
      <x:alignment horizontal="center" vertical="center" wrapText="1"/>
    </x:xf>
    <x:xf numFmtId="0" fontId="16" fillId="47" borderId="0" xfId="0" applyNumberFormat="1" applyFont="1" applyFill="1" applyBorder="1" applyAlignment="1">
      <x:alignment horizontal="center" vertical="center" wrapText="1"/>
    </x:xf>
    <x:xf numFmtId="0" fontId="16" fillId="48" borderId="0" xfId="0" applyNumberFormat="1" applyFont="1" applyFill="1" applyBorder="1" applyAlignment="1">
      <x:alignment horizontal="center" vertical="center" wrapText="1"/>
    </x:xf>
    <x:xf numFmtId="200" fontId="20" fillId="42" borderId="5" xfId="0" applyNumberFormat="1" applyFont="1" applyFill="1" applyBorder="1" applyAlignment="1">
      <x:alignment horizontal="center" vertical="center" wrapText="1"/>
    </x:xf>
    <x:xf numFmtId="0" fontId="20" fillId="42" borderId="6" xfId="0" applyNumberFormat="1" applyFont="1" applyFill="1" applyBorder="1" applyAlignment="1">
      <x:alignment horizontal="center" vertical="center" wrapText="1"/>
    </x:xf>
    <x:xf numFmtId="0" fontId="20" fillId="42" borderId="7" xfId="0" applyNumberFormat="1" applyFont="1" applyFill="1" applyBorder="1" applyAlignment="1">
      <x:alignment horizontal="center" vertical="center" wrapText="1"/>
    </x:xf>
    <x:xf numFmtId="208" fontId="18" fillId="42" borderId="5" xfId="0" applyNumberFormat="1" applyFont="1" applyFill="1" applyBorder="1" applyAlignment="1">
      <x:alignment horizontal="center" vertical="center" wrapText="1"/>
    </x:xf>
    <x:xf numFmtId="0" fontId="18" fillId="42" borderId="6" xfId="0" applyNumberFormat="1" applyFont="1" applyFill="1" applyBorder="1" applyAlignment="1">
      <x:alignment horizontal="center" vertical="center" wrapText="1"/>
    </x:xf>
    <x:xf numFmtId="0" fontId="18" fillId="42" borderId="7" xfId="0" applyNumberFormat="1" applyFont="1" applyFill="1" applyBorder="1" applyAlignment="1">
      <x:alignment horizontal="center" vertical="center" wrapText="1"/>
    </x:xf>
    <x:xf numFmtId="0" fontId="19" fillId="42" borderId="23" xfId="0" applyNumberFormat="1" applyFont="1" applyFill="1" applyBorder="1" applyAlignment="1">
      <x:alignment horizontal="center" vertical="center" wrapText="1"/>
    </x:xf>
    <x:xf numFmtId="0" fontId="19" fillId="42" xfId="0" applyNumberFormat="1" applyFont="1" applyFill="1" applyBorder="0" applyAlignment="1">
      <x:alignment horizontal="center" vertical="center" wrapText="1"/>
    </x:xf>
    <x:xf numFmtId="0" fontId="19" fillId="42" borderId="24" xfId="0" applyNumberFormat="1" applyFont="1" applyFill="1" applyBorder="1" applyAlignment="1">
      <x:alignment horizontal="center" vertical="center" wrapText="1"/>
    </x:xf>
    <x:xf numFmtId="0" fontId="20" fillId="42" borderId="23" xfId="0" applyNumberFormat="1" applyFont="1" applyFill="1" applyBorder="1" applyAlignment="1">
      <x:alignment horizontal="center" vertical="center" wrapText="1"/>
    </x:xf>
    <x:xf numFmtId="0" fontId="20" fillId="42" xfId="0" applyNumberFormat="1" applyFont="1" applyFill="1" applyBorder="0" applyAlignment="1">
      <x:alignment horizontal="center" vertical="center" wrapText="1"/>
    </x:xf>
    <x:xf numFmtId="0" fontId="20" fillId="42" borderId="24" xfId="0" applyNumberFormat="1" applyFont="1" applyFill="1" applyBorder="1" applyAlignment="1">
      <x:alignment horizontal="center" vertical="center" wrapText="1"/>
    </x:xf>
    <x:xf numFmtId="0" fontId="18" fillId="42" borderId="23" xfId="0" applyNumberFormat="1" applyFont="1" applyFill="1" applyBorder="1" applyAlignment="1">
      <x:alignment horizontal="center" vertical="center" wrapText="1"/>
    </x:xf>
    <x:xf numFmtId="0" fontId="18" fillId="42" xfId="0" applyNumberFormat="1" applyFont="1" applyFill="1" applyBorder="0" applyAlignment="1">
      <x:alignment horizontal="center" vertical="center" wrapText="1"/>
    </x:xf>
    <x:xf numFmtId="0" fontId="18" fillId="42" borderId="24" xfId="0" applyNumberFormat="1" applyFont="1" applyFill="1" applyBorder="1" applyAlignment="1">
      <x:alignment horizontal="center" vertical="center" wrapText="1"/>
    </x:xf>
    <x:xf numFmtId="0" fontId="21" fillId="42" borderId="23" xfId="0" applyNumberFormat="1" applyFont="1" applyFill="1" applyBorder="1" applyAlignment="1">
      <x:alignment horizontal="center" vertical="center" wrapText="1"/>
    </x:xf>
    <x:xf numFmtId="0" fontId="21" fillId="42" xfId="0" applyNumberFormat="1" applyFont="1" applyFill="1" applyBorder="0" applyAlignment="1">
      <x:alignment horizontal="center" vertical="center" wrapText="1"/>
    </x:xf>
    <x:xf numFmtId="0" fontId="21" fillId="42" borderId="24" xfId="0" applyNumberFormat="1" applyFont="1" applyFill="1" applyBorder="1" applyAlignment="1">
      <x:alignment horizontal="center" vertical="center" wrapText="1"/>
    </x:xf>
    <x:xf numFmtId="0" fontId="20" fillId="42" borderId="8" xfId="0" applyNumberFormat="1" applyFont="1" applyFill="1" applyBorder="1" applyAlignment="1">
      <x:alignment horizontal="center" vertical="center" wrapText="1"/>
    </x:xf>
    <x:xf numFmtId="0" fontId="20" fillId="42" borderId="9" xfId="0" applyNumberFormat="1" applyFont="1" applyFill="1" applyBorder="1" applyAlignment="1">
      <x:alignment horizontal="center" vertical="center" wrapText="1"/>
    </x:xf>
    <x:xf numFmtId="0" fontId="20" fillId="42" borderId="10" xfId="0" applyNumberFormat="1" applyFont="1" applyFill="1" applyBorder="1" applyAlignment="1">
      <x:alignment horizontal="center" vertical="center" wrapText="1"/>
    </x:xf>
    <x:xf numFmtId="0" fontId="18" fillId="42" borderId="8" xfId="0" applyNumberFormat="1" applyFont="1" applyFill="1" applyBorder="1" applyAlignment="1">
      <x:alignment horizontal="center" vertical="center" wrapText="1"/>
    </x:xf>
    <x:xf numFmtId="0" fontId="18" fillId="42" borderId="9" xfId="0" applyNumberFormat="1" applyFont="1" applyFill="1" applyBorder="1" applyAlignment="1">
      <x:alignment horizontal="center" vertical="center" wrapText="1"/>
    </x:xf>
    <x:xf numFmtId="0" fontId="18" fillId="42" borderId="10" xfId="0" applyNumberFormat="1" applyFont="1" applyFill="1" applyBorder="1" applyAlignment="1">
      <x:alignment horizontal="center" vertical="center" wrapText="1"/>
    </x:xf>
    <x:xf numFmtId="0" fontId="17" fillId="4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3">
    <x:dxf>
      <x:fill>
        <x:patternFill>
          <x:bgColor rgb="FFE8F5EE"/>
        </x:patternFill>
      </x:fill>
    </x:dxf>
    <x:dxf>
      <x:fill>
        <x:patternFill>
          <x:bgColor rgb="FFFFF6D8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FE9F7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6D8"/>
        </x:patternFill>
      </x:fill>
    </x:dxf>
    <x:dxf>
      <x:fill>
        <x:patternFill>
          <x:bgColor rgb="FFE8F5EE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5EE"/>
        </x:patternFill>
      </x:fill>
    </x:dxf>
    <x:dxf>
      <x:fill>
        <x:patternFill>
          <x:bgColor rgb="FFEFE9F7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B42318"/>
      </x:font>
      <x:fill>
        <x:patternFill>
          <x:bgColor rgb="FFFDECEC"/>
        </x:patternFill>
      </x:fill>
    </x:dxf>
    <x:dxf>
      <x:font>
        <x:color rgb="FFB42318"/>
      </x:font>
      <x:fill>
        <x:patternFill>
          <x:bgColor rgb="FFFDECEC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15803D"/>
      </x:font>
      <x:fill>
        <x:patternFill>
          <x:bgColor rgb="FFECFDF3"/>
        </x:patternFill>
      </x:fill>
    </x:dxf>
    <x:dxf>
      <x:font>
        <x:color rgb="FF15803D"/>
      </x:font>
      <x:fill>
        <x:patternFill>
          <x:bgColor rgb="FFECFDF3"/>
        </x:patternFill>
      </x:fill>
    </x:dxf>
    <x:dxf>
      <x:font>
        <x:b/>
        <x:color rgb="FF7C3AED"/>
      </x:font>
      <x:fill>
        <x:patternFill>
          <x:bgColor rgb="FFF3EEFF"/>
        </x:patternFill>
      </x:fill>
    </x:dxf>
    <x:dxf>
      <x:font>
        <x:b/>
        <x:color rgb="FF7C3AED"/>
      </x:font>
      <x:fill>
        <x:patternFill>
          <x:bgColor rgb="FFF3EEFF"/>
        </x:patternFill>
      </x:fill>
    </x:dxf>
    <x:dxf>
      <x:font>
        <x:b/>
        <x:color rgb="FF7C3AED"/>
      </x:font>
      <x:fill>
        <x:patternFill>
          <x:bgColor rgb="FFF3EEFF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B42318"/>
      </x:font>
      <x:fill>
        <x:patternFill>
          <x:bgColor rgb="FFFDECEC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15803D"/>
      </x:font>
      <x:fill>
        <x:patternFill>
          <x:bgColor rgb="FFECFDF3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7C3AED"/>
      </x:font>
      <x:fill>
        <x:patternFill>
          <x:bgColor rgb="FFF3EEFF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ont>
        <x:b/>
        <x:color rgb="FFD97706"/>
      </x:font>
      <x:fill>
        <x:patternFill>
          <x:bgColor rgb="FFFFF7E6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color rgb="FF64748B"/>
      </x:font>
      <x:fill>
        <x:patternFill>
          <x:bgColor rgb="FFF8FAFC"/>
        </x:patternFill>
      </x:fill>
    </x:dxf>
    <x:dxf>
      <x:font>
        <x:b/>
        <x:color rgb="FF7A4E00"/>
      </x:font>
      <x:fill>
        <x:patternFill patternType="solid">
          <x:bgColor rgb="FFFFF1B8"/>
        </x:patternFill>
      </x:fill>
    </x:dxf>
    <x:dxf>
      <x:font>
        <x:b/>
        <x:color rgb="FF7A4E00"/>
      </x:font>
      <x:fill>
        <x:patternFill patternType="solid">
          <x:bgColor rgb="FFFFF1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eff6c8988419a" /><Relationship Type="http://schemas.openxmlformats.org/officeDocument/2006/relationships/theme" Target="/xl/theme/theme1.xml" Id="R82afeade018d46ce" /><Relationship Type="http://schemas.openxmlformats.org/officeDocument/2006/relationships/sharedStrings" Target="/xl/sharedStrings.xml" Id="R824f8588365442a4" /><Relationship Type="http://schemas.openxmlformats.org/officeDocument/2006/relationships/worksheet" Target="/xl/worksheets/sheet1.xml" Id="R4824c222c8d84c9e" /><Relationship Type="http://schemas.openxmlformats.org/officeDocument/2006/relationships/worksheet" Target="/xl/worksheets/sheet2.xml" Id="R6216f659f64c4ebf" /><Relationship Type="http://schemas.openxmlformats.org/officeDocument/2006/relationships/worksheet" Target="/xl/worksheets/sheet3.xml" Id="R0782066f98634c6b" /><Relationship Type="http://schemas.openxmlformats.org/officeDocument/2006/relationships/worksheet" Target="/xl/worksheets/sheet4.xml" Id="Rb97ae5b2dc3348c9" /><Relationship Type="http://schemas.openxmlformats.org/officeDocument/2006/relationships/worksheet" Target="/xl/worksheets/sheet5.xml" Id="R6b2c88c237c74201" /><Relationship Type="http://schemas.openxmlformats.org/officeDocument/2006/relationships/worksheet" Target="/xl/worksheets/sheet6.xml" Id="R48f9d5830ed14a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80e39975724656" /><Relationship Type="http://schemas.openxmlformats.org/officeDocument/2006/relationships/chart" Target="/xl/drawings/charts/chart2.xml" Id="R64f9a6f4f1d1455c" /><Relationship Type="http://schemas.openxmlformats.org/officeDocument/2006/relationships/chart" Target="/xl/drawings/charts/chart3.xml" Id="Ra042d477984a45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afe9f81bb114f4e" /><Relationship Type="http://schemas.openxmlformats.org/officeDocument/2006/relationships/chart" Target="/xl/drawings/charts/chart5.xml" Id="R3097ef4fff264667" /><Relationship Type="http://schemas.openxmlformats.org/officeDocument/2006/relationships/chart" Target="/xl/drawings/charts/chart6.xml" Id="Rc20e557229ed4407" /><Relationship Type="http://schemas.openxmlformats.org/officeDocument/2006/relationships/chart" Target="/xl/drawings/charts/chart7.xml" Id="Rcd56ce9f5c1343d8" /><Relationship Type="http://schemas.openxmlformats.org/officeDocument/2006/relationships/chart" Target="/xl/drawings/charts/chart8.xml" Id="R38f683e2cb764562" /><Relationship Type="http://schemas.openxmlformats.org/officeDocument/2006/relationships/chart" Target="/xl/drawings/charts/chart9.xml" Id="Rb26e2190cf3843c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49e3983d945842bc" /><Relationship Type="http://schemas.openxmlformats.org/officeDocument/2006/relationships/chart" Target="/xl/drawings/charts/chart11.xml" Id="R90948bda39464259" /><Relationship Type="http://schemas.openxmlformats.org/officeDocument/2006/relationships/chart" Target="/xl/drawings/charts/chart12.xml" Id="Ra6d5b2cca6b543a0" /><Relationship Type="http://schemas.openxmlformats.org/officeDocument/2006/relationships/chart" Target="/xl/drawings/charts/chart13.xml" Id="R7f1b5947282c4271" /><Relationship Type="http://schemas.openxmlformats.org/officeDocument/2006/relationships/chart" Target="/xl/drawings/charts/chart14.xml" Id="R1a212364fcb1462e" /><Relationship Type="http://schemas.openxmlformats.org/officeDocument/2006/relationships/chart" Target="/xl/drawings/charts/chart15.xml" Id="Rebaecb338ada4f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سهم فعالیت‌ها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دقیقه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'داشبورد'!$AC$3:$AC$7</c:f>
              <c:strCache>
                <c:ptCount val="0"/>
              </c:strCache>
            </c:strRef>
          </c:cat>
          <c:val>
            <c:numRef>
              <c:f>'داشبورد'!$AD$3:$AD$7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ساعات هر درس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ساعات برنامه‌ریزی‌شده</c:v>
          </c:tx>
          <c:spPr>
            <a:solidFill xmlns:a="http://schemas.openxmlformats.org/drawingml/2006/main">
              <a:srgbClr val="214E70"/>
            </a:solidFill>
          </c:spPr>
          <c:cat>
            <c:strRef>
              <c:f>'داشبورد'!$A$16:$A$18</c:f>
              <c:strCache>
                <c:ptCount val="0"/>
              </c:strCache>
            </c:strRef>
          </c:cat>
          <c:val>
            <c:numRef>
              <c:f>'داشبورد'!$B$16:$B$18</c:f>
              <c:numCache>
                <c:formatCode>[$-fa-IR]0.00</c:formatCode>
                <c:ptCount val="0"/>
              </c:numCache>
            </c:numRef>
          </c:val>
        </c:ser>
        <c:ser>
          <c:idx val="1"/>
          <c:order val="1"/>
          <c:tx>
            <c:v>ساعات انجام‌شده</c:v>
          </c:tx>
          <c:spPr>
            <a:solidFill xmlns:a="http://schemas.openxmlformats.org/drawingml/2006/main">
              <a:srgbClr val="15803D"/>
            </a:solidFill>
          </c:spPr>
          <c:cat>
            <c:strRef>
              <c:f>'داشبورد'!$A$16:$A$18</c:f>
              <c:strCache>
                <c:ptCount val="0"/>
              </c:strCache>
            </c:strRef>
          </c:cat>
          <c:val>
            <c:numRef>
              <c:f>'داشبورد'!$C$16:$C$18</c:f>
              <c:numCache>
                <c:formatCode>[$-fa-IR]0.00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روند سهم آزمون و تحلیل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درصد</c:v>
          </c:tx>
          <c:spPr>
            <a:ln xmlns:a="http://schemas.openxmlformats.org/drawingml/2006/main" w="23813">
              <a:solidFill>
                <a:srgbClr val="7C3AED"/>
              </a:solidFill>
              <a:prstDash val="solid"/>
            </a:ln>
          </c:spPr>
          <c:cat>
            <c:strRef>
              <c:f>'داشبورد'!$AE$3:$AE$14</c:f>
              <c:strCache>
                <c:ptCount val="0"/>
              </c:strCache>
            </c:strRef>
          </c:cat>
          <c:val>
            <c:numRef>
              <c:f>'داشبورد'!$AF$3:$AF$14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برنامه</c:v>
          </c:tx>
          <c:spPr>
            <a:solidFill xmlns:a="http://schemas.openxmlformats.org/drawingml/2006/main">
              <a:srgbClr val="214E70"/>
            </a:solidFill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روزانه'!$AD$2:$AD$15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عملکرد واقعی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روزانه'!$AE$2:$AE$15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تحقق زمانی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روزانه'!$AF$2:$AF$15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چک‌لیست</c:v>
          </c:tx>
          <c:spPr>
            <a:ln xmlns:a="http://schemas.openxmlformats.org/drawingml/2006/main" w="19050">
              <a:solidFill>
                <a:srgbClr val="15803D"/>
              </a:solidFill>
              <a:prstDash val="solid"/>
            </a:ln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روزانه'!$AI$2:$AI$15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امتیاز گزارش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روزانه'!$AJ$2:$AJ$15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برنامه</c:v>
          </c:tx>
          <c:spPr>
            <a:solidFill xmlns:a="http://schemas.openxmlformats.org/drawingml/2006/main">
              <a:srgbClr val="214E70"/>
            </a:solidFill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روزانه'!$AG$2:$AG$15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عملکرد واقعی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روزانه'!$AH$2:$AH$15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برنامه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'گزارش روزانه'!$AP$2:$AP$15</c:f>
              <c:strCache>
                <c:ptCount val="0"/>
              </c:strCache>
            </c:strRef>
          </c:cat>
          <c:val>
            <c:numRef>
              <c:f>'گزارش روزانه'!$AQ$2:$AQ$15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عملکرد واقعی</c:v>
          </c:tx>
          <c:spPr>
            <a:solidFill xmlns:a="http://schemas.openxmlformats.org/drawingml/2006/main">
              <a:srgbClr val="7C3AED"/>
            </a:solidFill>
          </c:spPr>
          <c:cat>
            <c:strRef>
              <c:f>'گزارش روزانه'!$AP$2:$AP$15</c:f>
              <c:strCache>
                <c:ptCount val="0"/>
              </c:strCache>
            </c:strRef>
          </c:cat>
          <c:val>
            <c:numRef>
              <c:f>'گزارش روزانه'!$AR$2:$AR$15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تمرکز</c:v>
          </c:tx>
          <c:spPr>
            <a:ln xmlns:a="http://schemas.openxmlformats.org/drawingml/2006/main" w="19050">
              <a:solidFill>
                <a:srgbClr val="0F766E"/>
              </a:solidFill>
              <a:prstDash val="solid"/>
            </a:ln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روزانه'!$AK$2:$AK$15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انرژی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cat>
            <c:strRef>
              <c:f>'گزارش روزانه'!$AC$2:$AC$15</c:f>
              <c:strCache>
                <c:ptCount val="0"/>
              </c:strCache>
            </c:strRef>
          </c:cat>
          <c:val>
            <c:numRef>
              <c:f>'گزارش روزانه'!$AL$2:$AL$15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وضعیت چک‌لیست برنامهٔ خرد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تعداد روز</c:v>
          </c:tx>
          <c:cat>
            <c:strRef>
              <c:f>'گزارش روزانه'!$AN$6:$AN$8</c:f>
              <c:strCache>
                <c:ptCount val="0"/>
              </c:strCache>
            </c:strRef>
          </c:cat>
          <c:val>
            <c:numRef>
              <c:f>'گزارش روزانه'!$AO$6:$AO$8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برنامه</c:v>
          </c:tx>
          <c:spPr>
            <a:solidFill xmlns:a="http://schemas.openxmlformats.org/drawingml/2006/main">
              <a:srgbClr val="214E70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هفتگی'!$D$11:$D$22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عملکرد واقعی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هفتگی'!$E$11:$E$22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زمان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هفتگی'!$F$11:$F$22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صفحات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هفتگی'!$I$11:$I$22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تست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هفتگی'!$L$11:$L$22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چک‌لیست</c:v>
          </c:tx>
          <c:spPr>
            <a:ln xmlns:a="http://schemas.openxmlformats.org/drawingml/2006/main" w="19050">
              <a:solidFill>
                <a:srgbClr val="15803D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هفتگی'!$R$11:$R$22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برنامه</c:v>
          </c:tx>
          <c:spPr>
            <a:solidFill xmlns:a="http://schemas.openxmlformats.org/drawingml/2006/main">
              <a:srgbClr val="214E70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هفتگی'!$G$11:$G$22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عملکرد واقعی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هفتگی'!$H$11:$H$22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انجام‌شده</c:v>
          </c:tx>
          <c:spPr>
            <a:solidFill xmlns:a="http://schemas.openxmlformats.org/drawingml/2006/main">
              <a:srgbClr val="15803D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هفتگی'!$O$11:$O$22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نیمه‌انجام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هفتگی'!$P$11:$P$22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انجام‌نشده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هفتگی'!$Q$11:$Q$22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تمرکز</c:v>
          </c:tx>
          <c:spPr>
            <a:ln xmlns:a="http://schemas.openxmlformats.org/drawingml/2006/main" w="19050">
              <a:solidFill>
                <a:srgbClr val="0F766E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هفتگی'!$M$11:$M$22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انرژی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هفتگی'!$N$11:$N$22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stacked"/>
        <c:varyColors val="0"/>
        <c:ser>
          <c:idx val="0"/>
          <c:order val="0"/>
          <c:tx>
            <c:v>دارای گزارش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هفتگی'!$S$11:$S$22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بدون گزارش</c:v>
          </c:tx>
          <c:spPr>
            <a:solidFill xmlns:a="http://schemas.openxmlformats.org/drawingml/2006/main">
              <a:srgbClr val="B42318"/>
            </a:solidFill>
          </c:spPr>
          <c:cat>
            <c:strRef>
              <c:f>'گزارش هفتگی'!$A$11:$A$22</c:f>
              <c:strCache>
                <c:ptCount val="0"/>
              </c:strCache>
            </c:strRef>
          </c:cat>
          <c:val>
            <c:numRef>
              <c:f>'گزارش هفتگی'!$T$11:$T$22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2</xdr:row>
      <xdr:rowOff>0</xdr:rowOff>
    </xdr:from>
    <xdr:to>
      <xdr:col>28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80e39975724656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28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f9a6f4f1d1455c"/>
        </a:graphicData>
      </a:graphic>
    </xdr:graphicFrame>
    <xdr:clientData/>
  </xdr:twoCellAnchor>
  <xdr:twoCellAnchor>
    <xdr:from>
      <xdr:col>18</xdr:col>
      <xdr:colOff>0</xdr:colOff>
      <xdr:row>30</xdr:row>
      <xdr:rowOff>0</xdr:rowOff>
    </xdr:from>
    <xdr:to>
      <xdr:col>28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42d477984a45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42</xdr:col>
      <xdr:colOff>0</xdr:colOff>
      <xdr:row>1</xdr:row>
      <xdr:rowOff>0</xdr:rowOff>
    </xdr:from>
    <xdr:to>
      <xdr:col>53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fe9f81bb114f4e"/>
        </a:graphicData>
      </a:graphic>
    </xdr:graphicFrame>
    <xdr:clientData/>
  </xdr:twoCellAnchor>
  <xdr:twoCellAnchor>
    <xdr:from>
      <xdr:col>54</xdr:col>
      <xdr:colOff>0</xdr:colOff>
      <xdr:row>1</xdr:row>
      <xdr:rowOff>0</xdr:rowOff>
    </xdr:from>
    <xdr:to>
      <xdr:col>65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97ef4fff264667"/>
        </a:graphicData>
      </a:graphic>
    </xdr:graphicFrame>
    <xdr:clientData/>
  </xdr:twoCellAnchor>
  <xdr:twoCellAnchor>
    <xdr:from>
      <xdr:col>42</xdr:col>
      <xdr:colOff>0</xdr:colOff>
      <xdr:row>17</xdr:row>
      <xdr:rowOff>0</xdr:rowOff>
    </xdr:from>
    <xdr:to>
      <xdr:col>53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e557229ed4407"/>
        </a:graphicData>
      </a:graphic>
    </xdr:graphicFrame>
    <xdr:clientData/>
  </xdr:twoCellAnchor>
  <xdr:twoCellAnchor>
    <xdr:from>
      <xdr:col>54</xdr:col>
      <xdr:colOff>0</xdr:colOff>
      <xdr:row>17</xdr:row>
      <xdr:rowOff>0</xdr:rowOff>
    </xdr:from>
    <xdr:to>
      <xdr:col>65</xdr:col>
      <xdr:colOff>0</xdr:colOff>
      <xdr:row>32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6ce9f5c1343d8"/>
        </a:graphicData>
      </a:graphic>
    </xdr:graphicFrame>
    <xdr:clientData/>
  </xdr:twoCellAnchor>
  <xdr:twoCellAnchor>
    <xdr:from>
      <xdr:col>42</xdr:col>
      <xdr:colOff>0</xdr:colOff>
      <xdr:row>33</xdr:row>
      <xdr:rowOff>0</xdr:rowOff>
    </xdr:from>
    <xdr:to>
      <xdr:col>53</xdr:col>
      <xdr:colOff>0</xdr:colOff>
      <xdr:row>48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683e2cb764562"/>
        </a:graphicData>
      </a:graphic>
    </xdr:graphicFrame>
    <xdr:clientData/>
  </xdr:twoCellAnchor>
  <xdr:twoCellAnchor>
    <xdr:from>
      <xdr:col>54</xdr:col>
      <xdr:colOff>0</xdr:colOff>
      <xdr:row>33</xdr:row>
      <xdr:rowOff>0</xdr:rowOff>
    </xdr:from>
    <xdr:to>
      <xdr:col>65</xdr:col>
      <xdr:colOff>0</xdr:colOff>
      <xdr:row>48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6e2190cf3843c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24</xdr:col>
      <xdr:colOff>0</xdr:colOff>
      <xdr:row>1</xdr:row>
      <xdr:rowOff>0</xdr:rowOff>
    </xdr:from>
    <xdr:to>
      <xdr:col>35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3983d945842bc"/>
        </a:graphicData>
      </a:graphic>
    </xdr:graphicFrame>
    <xdr:clientData/>
  </xdr:twoCellAnchor>
  <xdr:twoCellAnchor>
    <xdr:from>
      <xdr:col>35</xdr:col>
      <xdr:colOff>0</xdr:colOff>
      <xdr:row>1</xdr:row>
      <xdr:rowOff>0</xdr:rowOff>
    </xdr:from>
    <xdr:to>
      <xdr:col>46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948bda39464259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35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d5b2cca6b543a0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46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1b5947282c4271"/>
        </a:graphicData>
      </a:graphic>
    </xdr:graphicFrame>
    <xdr:clientData/>
  </xdr:twoCellAnchor>
  <xdr:twoCellAnchor>
    <xdr:from>
      <xdr:col>24</xdr:col>
      <xdr:colOff>0</xdr:colOff>
      <xdr:row>31</xdr:row>
      <xdr:rowOff>0</xdr:rowOff>
    </xdr:from>
    <xdr:to>
      <xdr:col>35</xdr:col>
      <xdr:colOff>0</xdr:colOff>
      <xdr:row>45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212364fcb1462e"/>
        </a:graphicData>
      </a:graphic>
    </xdr:graphicFrame>
    <xdr:clientData/>
  </xdr:twoCellAnchor>
  <xdr:twoCellAnchor>
    <xdr:from>
      <xdr:col>35</xdr:col>
      <xdr:colOff>0</xdr:colOff>
      <xdr:row>31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ecb338ada4f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Plan" displayName="DailyPlan" ref="A1:H82" headerRowCount="1">
  <x:tableColumns count="8">
    <x:tableColumn id="1" name="تاریخ شمسی"/>
    <x:tableColumn id="2" name="روز هفته"/>
    <x:tableColumn id="3" name="پارت ۱: نام درس — فصل — عنوان دقیق — بازه صفحه/واحد"/>
    <x:tableColumn id="4" name="پارت ۲: نام درس — فصل — عنوان دقیق — بازه صفحه/واحد"/>
    <x:tableColumn id="5" name="نوع فعالیت"/>
    <x:tableColumn id="6" name="تعداد تست مقرر‌شده"/>
    <x:tableColumn id="7" name="چک‌لیست انجام"/>
    <x:tableColumn id="8" name="نکات و باکس یادداشت"/>
  </x:tableColumns>
  <x:tableStyleInfo name="TableStyleMedium2" showRowStripes="1"/>
</x:table>
</file>

<file path=xl/tables/table2.xml><?xml version="1.0" encoding="utf-8"?>
<x:table xmlns:x="http://schemas.openxmlformats.org/spreadsheetml/2006/main" id="2" name="AdaptiveReview" displayName="AdaptiveReview" ref="A1:AE181" headerRowCount="1">
  <x:tableColumns count="31">
    <x:tableColumn id="1" name="شناسه واحد"/>
    <x:tableColumn id="2" name="درس"/>
    <x:tableColumn id="3" name="منبع"/>
    <x:tableColumn id="4" name="فصل"/>
    <x:tableColumn id="5" name="عنوان فصل"/>
    <x:tableColumn id="6" name="عنوان زیربخش"/>
    <x:tableColumn id="7" name="بازه صفحه"/>
    <x:tableColumn id="8" name="تعداد صفحه"/>
    <x:tableColumn id="9" name="تاریخ مطالعه اولیه"/>
    <x:tableColumn id="10" name="مدت مطالعه اولیه"/>
    <x:tableColumn id="11" name="تاریخ بازیابی همان‌جلسه"/>
    <x:tableColumn id="12" name="تاریخ پایه D+1"/>
    <x:tableColumn id="13" name="تاریخ پایه D+3"/>
    <x:tableColumn id="14" name="تاریخ پایه D+7"/>
    <x:tableColumn id="15" name="تاریخ پایه D+14"/>
    <x:tableColumn id="16" name="تاریخ پایه D+28"/>
    <x:tableColumn id="17" name="آخرین تاریخ مرور واقعی"/>
    <x:tableColumn id="18" name="فاصله قبلی"/>
    <x:tableColumn id="19" name="درصد پاسخ صحیح"/>
    <x:tableColumn id="20" name="کیفیت بازیابی"/>
    <x:tableColumn id="21" name="سرعت پاسخ"/>
    <x:tableColumn id="22" name="میزان اطمینان"/>
    <x:tableColumn id="23" name="تعداد موفقیت کامل متوالی"/>
    <x:tableColumn id="24" name="خطای مفهومی"/>
    <x:tableColumn id="25" name="نیاز به بازآموزی"/>
    <x:tableColumn id="26" name="تاریخ پیشنهادی مرور بعدی"/>
    <x:tableColumn id="27" name="تاریخ مرور برنامه‌ریزی‌شده"/>
    <x:tableColumn id="28" name="میزان تأخیر یا تعجیل"/>
    <x:tableColumn id="29" name="وضعیت سررسید"/>
    <x:tableColumn id="30" name="انتقال به تثبیت نهایی"/>
    <x:tableColumn id="31" name="توضیح"/>
  </x:tableColumns>
  <x:tableStyleInfo name="TableStyleMedium2" showRowStripes="1"/>
</x:table>
</file>

<file path=xl/tables/table3.xml><?xml version="1.0" encoding="utf-8"?>
<x:table xmlns:x="http://schemas.openxmlformats.org/spreadsheetml/2006/main" id="3" name="DailyAdherenceReport" displayName="DailyAdherenceReport" ref="A10:Y91" headerRowCount="1">
  <x:tableColumns count="25">
    <x:tableColumn id="1" name="تاریخ شمسی"/>
    <x:tableColumn id="2" name="روز هفته"/>
    <x:tableColumn id="3" name="هفته"/>
    <x:tableColumn id="4" name="درس‌های برنامه‌ریزی‌شده"/>
    <x:tableColumn id="5" name="نوع فعالیت برنامه"/>
    <x:tableColumn id="6" name="وضعیت برنامهٔ خرد"/>
    <x:tableColumn id="7" name="امتیاز وضعیت"/>
    <x:tableColumn id="8" name="دقیقهٔ برنامه"/>
    <x:tableColumn id="9" name="دقیقهٔ واقعی"/>
    <x:tableColumn id="10" name="تحقق زمانی"/>
    <x:tableColumn id="11" name="صفحات جدید برنامه"/>
    <x:tableColumn id="12" name="صفحات جدید واقعی"/>
    <x:tableColumn id="13" name="تحقق صفحات"/>
    <x:tableColumn id="14" name="تست برنامه"/>
    <x:tableColumn id="15" name="تست واقعی و تحلیل‌شده"/>
    <x:tableColumn id="16" name="تحقق تست"/>
    <x:tableColumn id="17" name="دقیقهٔ مرور و بازیابی واقعی"/>
    <x:tableColumn id="18" name="تمرکز از ۱ تا ۵"/>
    <x:tableColumn id="19" name="انرژی از ۱ تا ۵"/>
    <x:tableColumn id="20" name="مهم‌ترین دستاورد روز"/>
    <x:tableColumn id="21" name="مشکل یا علت انحراف"/>
    <x:tableColumn id="22" name="اقدام جبرانی یا برنامهٔ فردا"/>
    <x:tableColumn id="23" name="امتیاز گزارش روزانه"/>
    <x:tableColumn id="24" name="اختلاف دقیقه"/>
    <x:tableColumn id="25" name="وضعیت گزارش"/>
  </x:tableColumns>
  <x:tableStyleInfo name="TableStyleMedium2" showRowStripes="1"/>
</x:table>
</file>

<file path=xl/tables/table4.xml><?xml version="1.0" encoding="utf-8"?>
<x:table xmlns:x="http://schemas.openxmlformats.org/spreadsheetml/2006/main" id="4" name="WeeklyAdherenceReport" displayName="WeeklyAdherenceReport" ref="A10:W22" headerRowCount="1">
  <x:tableColumns count="23">
    <x:tableColumn id="1" name="هفته"/>
    <x:tableColumn id="2" name="بازهٔ تاریخ"/>
    <x:tableColumn id="3" name="تعداد روز"/>
    <x:tableColumn id="4" name="دقیقهٔ برنامه"/>
    <x:tableColumn id="5" name="دقیقهٔ واقعی"/>
    <x:tableColumn id="6" name="تحقق زمانی"/>
    <x:tableColumn id="7" name="صفحات برنامه"/>
    <x:tableColumn id="8" name="صفحات واقعی"/>
    <x:tableColumn id="9" name="تحقق صفحات"/>
    <x:tableColumn id="10" name="تست برنامه"/>
    <x:tableColumn id="11" name="تست واقعی"/>
    <x:tableColumn id="12" name="تحقق تست"/>
    <x:tableColumn id="13" name="میانگین تمرکز"/>
    <x:tableColumn id="14" name="میانگین انرژی"/>
    <x:tableColumn id="15" name="روز انجام‌شده"/>
    <x:tableColumn id="16" name="روز نیمه‌انجام"/>
    <x:tableColumn id="17" name="روز انجام‌نشده"/>
    <x:tableColumn id="18" name="امتیاز چک‌لیست"/>
    <x:tableColumn id="19" name="روزهای دارای گزارش"/>
    <x:tableColumn id="20" name="روزهای بدون گزارش"/>
    <x:tableColumn id="21" name="امتیاز ترکیبی هفته"/>
    <x:tableColumn id="22" name="جمع‌بندی خودکار"/>
    <x:tableColumn id="23" name="یادداشت هفتگی تکمیل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ba6b277ad741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eceedcb8f40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3cfb9364a948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1116a6a8b6b43a7" /><Relationship Type="http://schemas.openxmlformats.org/officeDocument/2006/relationships/table" Target="/xl/tables/table3.xml" Id="R21839d5493f242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af721f24c3ff4ac7" /><Relationship Type="http://schemas.openxmlformats.org/officeDocument/2006/relationships/table" Target="/xl/tables/table4.xml" Id="Rdf9c2cbb924a471d" /></Relationships>
</file>

<file path=xl/worksheets/sheet1.xml><?xml version="1.0" encoding="utf-8"?>
<worksheet xmlns="http://schemas.openxmlformats.org/spreadsheetml/2006/main" xmlns:ns1="http://schemas.microsoft.com/office/spreadsheetml/2009/9/main" xmlns:ns2="http://schemas.openxmlformats.org/officeDocument/2006/relationships" xmlns:ns3="http://schemas.microsoft.com/office/excel/2006/main">
  <sheetViews>
    <sheetView showGridLines="0" workbookViewId="0" rightToLeft="1"/>
  </sheetViews>
  <sheetFormatPr defaultRowHeight="15"/>
  <cols>
    <col min="1" max="1" width="23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8" hidden="0" customWidth="1"/>
    <col min="8" max="8" width="16" hidden="0" customWidth="1"/>
    <col min="9" max="9" width="34" hidden="0" customWidth="1"/>
    <col min="10" max="10" width="20" hidden="0" customWidth="1"/>
    <col min="11" max="11" width="16" hidden="0" customWidth="1"/>
    <col min="13" max="13" width="25" hidden="0" customWidth="1"/>
    <col min="14" max="14" width="16" hidden="0" customWidth="1"/>
    <col min="15" max="15" width="16" hidden="0" customWidth="1"/>
    <col min="16" max="16" width="18" hidden="0" customWidth="1"/>
    <col min="17" max="17" width="23" hidden="0" customWidth="1"/>
    <col min="12" max="12" width="16" hidden="0" customWidth="1"/>
    <col min="29" max="29" width="0.10000000149011612" hidden="0" customWidth="1"/>
    <col min="30" max="30" width="0.10000000149011612" hidden="0" customWidth="1"/>
    <col min="31" max="31" width="0.10000000149011612" hidden="0" customWidth="1"/>
    <col min="32" max="32" width="0.10000000149011612" hidden="0" customWidth="1"/>
  </cols>
  <sheetData>
    <row r="1" ht="27" customHeight="1">
      <c r="A1" s="274" t="str">
        <v>داشبورد برنامهٔ جامع کارشناسی ارشد روان‌شناسی بالینی ۱۴۰۶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ht="27" customHeight="1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 t="str">
        <v>نوع فعالیت</v>
      </c>
      <c r="AD2" s="61" t="str">
        <v>دقیقه</v>
      </c>
      <c r="AE2" s="61" t="str">
        <v>هفته</v>
      </c>
      <c r="AF2" s="61" t="str">
        <v>درصد</v>
      </c>
    </row>
    <row r="3" ht="27" customHeight="1">
      <c r="A3" s="565" t="str">
        <v>بازهٔ اجرا: ۱۲ مرداد تا ۳۰ مهر ۱۴۰۵  |  روش محوری: مرور بازیابی‌محور تطبیقی  |  برنامهٔ روزانه: ۴ ساعت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 t="str">
        <v>مطالعهٔ اولیه</v>
      </c>
      <c r="AD3" s="61" t="n">
        <v>7926</v>
      </c>
      <c r="AE3" s="61" t="n">
        <v>1</v>
      </c>
      <c r="AF3" s="61" t="n">
        <f>D23</f>
        <v>0.2833333333333333</v>
      </c>
    </row>
    <row r="4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 t="str">
        <v>بازیابی همان‌جلسه</v>
      </c>
      <c r="AD4" s="61" t="n">
        <v>2090</v>
      </c>
      <c r="AE4" s="61" t="n">
        <v>2</v>
      </c>
      <c r="AF4" s="61" t="n">
        <f>D24</f>
        <v>0.2833333333333333</v>
      </c>
    </row>
    <row r="5" ht="28" customHeight="1">
      <c r="A5" s="566" t="str">
        <v>روزهای برنامه</v>
      </c>
      <c r="B5" s="567"/>
      <c r="C5" s="568"/>
      <c r="D5" s="709" t="str">
        <v>ساعت مطالعه</v>
      </c>
      <c r="E5" s="710"/>
      <c r="F5" s="711"/>
      <c r="G5" s="572" t="str">
        <v>صفحات جدید</v>
      </c>
      <c r="H5" s="573"/>
      <c r="I5" s="574"/>
      <c r="J5" s="575" t="str">
        <v>تست برنامه‌ریزی‌شده</v>
      </c>
      <c r="K5" s="576"/>
      <c r="L5" s="577"/>
      <c r="M5" s="578" t="str">
        <v>سهم آزمون و تحلیل</v>
      </c>
      <c r="N5" s="579"/>
      <c r="O5" s="579"/>
      <c r="P5" s="579"/>
      <c r="Q5" s="580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 t="str">
        <v>بازخورد و اصلاح</v>
      </c>
      <c r="AD5" s="61" t="n">
        <v>1045</v>
      </c>
      <c r="AE5" s="61" t="n">
        <v>3</v>
      </c>
      <c r="AF5" s="61" t="n">
        <f>D25</f>
        <v>0.2833333333333333</v>
      </c>
    </row>
    <row r="6" ht="28" customHeight="1">
      <c r="A6" s="581" t="str">
        <v>۸۱</v>
      </c>
      <c r="B6" s="582"/>
      <c r="C6" s="583"/>
      <c r="D6" s="584" t="str">
        <v>۳۲۴</v>
      </c>
      <c r="E6" s="585"/>
      <c r="F6" s="586"/>
      <c r="G6" s="587" t="str">
        <v>۲۰۷۵</v>
      </c>
      <c r="H6" s="588"/>
      <c r="I6" s="589"/>
      <c r="J6" s="590" t="str">
        <v>۱۳۷۷</v>
      </c>
      <c r="K6" s="591"/>
      <c r="L6" s="592"/>
      <c r="M6" s="593" t="n">
        <f>SUM('برنامه خرد'!$AH$2:$AH$82)/SUM('برنامه خرد'!$AG$2:$AG$82)</f>
        <v>0.28415637860082305</v>
      </c>
      <c r="N6" s="594"/>
      <c r="O6" s="594"/>
      <c r="P6" s="594"/>
      <c r="Q6" s="595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 t="str">
        <v>مرور فاصله‌دار و تجمعی</v>
      </c>
      <c r="AD6" s="61" t="n">
        <v>2855</v>
      </c>
      <c r="AE6" s="61" t="n">
        <v>4</v>
      </c>
      <c r="AF6" s="61" t="n">
        <f>D26</f>
        <v>0.2833333333333333</v>
      </c>
    </row>
    <row r="7" ht="28" customHeight="1">
      <c r="A7" s="596"/>
      <c r="B7" s="597"/>
      <c r="C7" s="598"/>
      <c r="D7" s="599"/>
      <c r="E7" s="600"/>
      <c r="F7" s="601"/>
      <c r="G7" s="602"/>
      <c r="H7" s="603"/>
      <c r="I7" s="604"/>
      <c r="J7" s="605"/>
      <c r="K7" s="606"/>
      <c r="L7" s="607"/>
      <c r="M7" s="608"/>
      <c r="N7" s="609"/>
      <c r="O7" s="609"/>
      <c r="P7" s="609"/>
      <c r="Q7" s="610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 t="str">
        <v>آزمون و تحلیل</v>
      </c>
      <c r="AD7" s="61" t="n">
        <v>5524</v>
      </c>
      <c r="AE7" s="61" t="n">
        <v>5</v>
      </c>
      <c r="AF7" s="61" t="n">
        <f>D27</f>
        <v>0.2833333333333333</v>
      </c>
    </row>
    <row r="8" ht="28" customHeigh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 t="n">
        <v>6</v>
      </c>
      <c r="AF8" s="61" t="n">
        <f>D28</f>
        <v>0.2833333333333333</v>
      </c>
    </row>
    <row r="9" ht="28" customHeight="1">
      <c r="A9" s="274" t="str">
        <v>پیشرفت کل برنامه</v>
      </c>
      <c r="B9" s="274"/>
      <c r="C9" s="274"/>
      <c r="D9" s="274"/>
      <c r="E9" s="274"/>
      <c r="F9" s="274"/>
      <c r="G9" s="61"/>
      <c r="H9" s="274" t="str">
        <v>روزهای معادلِ تکمیل‌شده</v>
      </c>
      <c r="I9" s="274"/>
      <c r="J9" s="274"/>
      <c r="K9" s="274"/>
      <c r="L9" s="274"/>
      <c r="M9" s="61"/>
      <c r="N9" s="274" t="str">
        <v>روزهای معادلِ باقی‌مانده</v>
      </c>
      <c r="O9" s="274"/>
      <c r="P9" s="274"/>
      <c r="Q9" s="274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 t="n">
        <v>7</v>
      </c>
      <c r="AF9" s="61" t="n">
        <f>D29</f>
        <v>0.2833333333333333</v>
      </c>
    </row>
    <row r="10" ht="28" customHeight="1">
      <c r="A10" s="611" t="n">
        <f>AVERAGE('برنامه خرد'!$AB$2:$AB$82)</f>
        <v>0</v>
      </c>
      <c r="B10" s="612"/>
      <c r="C10" s="612"/>
      <c r="D10" s="612"/>
      <c r="E10" s="612"/>
      <c r="F10" s="613"/>
      <c r="G10" s="61"/>
      <c r="H10" s="614" t="n">
        <f>SUM('برنامه خرد'!$AB$2:$AB$82)</f>
        <v>0</v>
      </c>
      <c r="I10" s="615"/>
      <c r="J10" s="615"/>
      <c r="K10" s="615"/>
      <c r="L10" s="616"/>
      <c r="M10" s="61"/>
      <c r="N10" s="617" t="n">
        <f>81-SUM('برنامه خرد'!$AB$2:$AB$82)</f>
        <v>81</v>
      </c>
      <c r="O10" s="618"/>
      <c r="P10" s="618"/>
      <c r="Q10" s="619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 t="n">
        <v>8</v>
      </c>
      <c r="AF10" s="61" t="n">
        <f>D30</f>
        <v>0.2833333333333333</v>
      </c>
    </row>
    <row r="11" ht="28" customHeight="1">
      <c r="A11" s="620"/>
      <c r="B11" s="621"/>
      <c r="C11" s="621"/>
      <c r="D11" s="621"/>
      <c r="E11" s="621"/>
      <c r="F11" s="622"/>
      <c r="G11" s="61"/>
      <c r="H11" s="623"/>
      <c r="I11" s="624"/>
      <c r="J11" s="624"/>
      <c r="K11" s="624"/>
      <c r="L11" s="625"/>
      <c r="M11" s="61"/>
      <c r="N11" s="626"/>
      <c r="O11" s="627"/>
      <c r="P11" s="627"/>
      <c r="Q11" s="628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 t="n">
        <v>9</v>
      </c>
      <c r="AF11" s="61" t="n">
        <f>D31</f>
        <v>0.2833333333333333</v>
      </c>
    </row>
    <row r="12" ht="28" customHeight="1">
      <c r="A12" s="629"/>
      <c r="B12" s="630"/>
      <c r="C12" s="630"/>
      <c r="D12" s="630"/>
      <c r="E12" s="630"/>
      <c r="F12" s="631"/>
      <c r="G12" s="61"/>
      <c r="H12" s="632"/>
      <c r="I12" s="633"/>
      <c r="J12" s="633"/>
      <c r="K12" s="633"/>
      <c r="L12" s="634"/>
      <c r="M12" s="61"/>
      <c r="N12" s="635"/>
      <c r="O12" s="636"/>
      <c r="P12" s="636"/>
      <c r="Q12" s="637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 t="n">
        <v>10</v>
      </c>
      <c r="AF12" s="61" t="n">
        <f>D32</f>
        <v>0.2833333333333333</v>
      </c>
    </row>
    <row r="13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 t="n">
        <v>11</v>
      </c>
      <c r="AF13" s="61" t="n">
        <f>D33</f>
        <v>0.2857142857142857</v>
      </c>
    </row>
    <row r="14" ht="26" customHeight="1">
      <c r="A14" s="712" t="str">
        <v>خلاصهٔ برنامه و پیشرفت به تفکیک درس</v>
      </c>
      <c r="B14" s="712"/>
      <c r="C14" s="712"/>
      <c r="D14" s="712"/>
      <c r="E14" s="712"/>
      <c r="F14" s="712"/>
      <c r="G14" s="712"/>
      <c r="H14" s="712"/>
      <c r="I14" s="712"/>
      <c r="J14" s="712"/>
      <c r="K14" s="712"/>
      <c r="L14" s="61"/>
      <c r="M14" s="639" t="str">
        <v>سرعت مطالعهٔ لازم — نیازمند تأیید کاربر</v>
      </c>
      <c r="N14" s="639"/>
      <c r="O14" s="639"/>
      <c r="P14" s="639"/>
      <c r="Q14" s="639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 t="n">
        <v>12</v>
      </c>
      <c r="AF14" s="61" t="n">
        <f>D34</f>
        <v>0.2916666666666667</v>
      </c>
    </row>
    <row r="15" ht="26" customHeight="1">
      <c r="A15" s="246" t="str">
        <v>درس</v>
      </c>
      <c r="B15" s="247" t="str">
        <v>ساعات برنامه‌ریزی‌شده</v>
      </c>
      <c r="C15" s="247" t="str">
        <v>ساعات انجام‌شده</v>
      </c>
      <c r="D15" s="247" t="str">
        <v>صفحات برنامه‌ریزی‌شده</v>
      </c>
      <c r="E15" s="247" t="str">
        <v>صفحات انجام‌شده</v>
      </c>
      <c r="F15" s="247" t="str">
        <v>تست برنامه‌ریزی‌شده</v>
      </c>
      <c r="G15" s="247" t="str">
        <v>تست انجام‌شده</v>
      </c>
      <c r="H15" s="247" t="str">
        <v>تعداد مرورهای پایه</v>
      </c>
      <c r="I15" s="247" t="str">
        <v>ضریب رسمی</v>
      </c>
      <c r="J15" s="247" t="str">
        <v>وزن برنامه‌ریزی</v>
      </c>
      <c r="K15" s="248" t="str">
        <v>پایان دور نخست</v>
      </c>
      <c r="L15" s="61"/>
      <c r="M15" s="274" t="str">
        <v>درس</v>
      </c>
      <c r="N15" s="274" t="str">
        <v>صفحات باقی‌مانده</v>
      </c>
      <c r="O15" s="274" t="str">
        <v>ساعات خالص</v>
      </c>
      <c r="P15" s="274" t="str">
        <v>صفحه در ساعتِ خالص</v>
      </c>
      <c r="Q15" s="274" t="str">
        <v>وضعیت</v>
      </c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</row>
    <row r="16" ht="26" customHeight="1">
      <c r="A16" s="250" t="str">
        <v>آسیب‌شناسی روانی</v>
      </c>
      <c r="B16" s="669" t="n">
        <v>120</v>
      </c>
      <c r="C16" s="669" t="n">
        <f>(SUMPRODUCT(('برنامه خرد'!$N$2:$N$82=A16)*'برنامه خرد'!$L$2:$L$82*'برنامه خرد'!$AB$2:$AB$82)+SUMPRODUCT(('برنامه خرد'!$O$2:$O$82=A16)*'برنامه خرد'!$M$2:$M$82*'برنامه خرد'!$AB$2:$AB$82))/60</f>
        <v>0</v>
      </c>
      <c r="D16" s="669" t="n">
        <v>693</v>
      </c>
      <c r="E16" s="669" t="n">
        <f>SUMPRODUCT(('برنامه خرد'!$N$2:$N$82=A16)*'برنامه خرد'!$R$2:$R$82*'برنامه خرد'!$AB$2:$AB$82)+SUMPRODUCT(('برنامه خرد'!$O$2:$O$82=A16)*'برنامه خرد'!$S$2:$S$82*'برنامه خرد'!$AB$2:$AB$82)</f>
        <v>0</v>
      </c>
      <c r="F16" s="669" t="n">
        <v>511</v>
      </c>
      <c r="G16" s="669" t="n">
        <f>SUMPRODUCT(('برنامه خرد'!$N$2:$N$82=A16)*'برنامه خرد'!$Z$2:$Z$82*'برنامه خرد'!$AB$2:$AB$82)+SUMPRODUCT(('برنامه خرد'!$O$2:$O$82=A16)*'برنامه خرد'!$AA$2:$AA$82*'برنامه خرد'!$AB$2:$AB$82)</f>
        <v>0</v>
      </c>
      <c r="H16" s="669" t="n">
        <v>320</v>
      </c>
      <c r="I16" s="669" t="n">
        <v>2</v>
      </c>
      <c r="J16" s="669" t="n">
        <v>2</v>
      </c>
      <c r="K16" s="255" t="str">
        <v>۱۴۰۵/۰۷/۲۲</v>
      </c>
      <c r="L16" s="61"/>
      <c r="M16" s="253" t="str">
        <v>آسیب‌شناسی روانی</v>
      </c>
      <c r="N16" s="669" t="n">
        <v>693</v>
      </c>
      <c r="O16" s="669" t="n">
        <v>49.15</v>
      </c>
      <c r="P16" s="669" t="n">
        <v>14.1</v>
      </c>
      <c r="Q16" s="255" t="str">
        <v>نیازمند تأیید سرعت مطالعه</v>
      </c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</row>
    <row r="17" ht="26" customHeight="1">
      <c r="A17" s="256" t="str">
        <v>نظریه‌های روان‌درمانی پروچاسکا</v>
      </c>
      <c r="B17" s="670" t="n">
        <v>115</v>
      </c>
      <c r="C17" s="670" t="n">
        <f>(SUMPRODUCT(('برنامه خرد'!$N$2:$N$82=A17)*'برنامه خرد'!$L$2:$L$82*'برنامه خرد'!$AB$2:$AB$82)+SUMPRODUCT(('برنامه خرد'!$O$2:$O$82=A17)*'برنامه خرد'!$M$2:$M$82*'برنامه خرد'!$AB$2:$AB$82))/60</f>
        <v>0</v>
      </c>
      <c r="D17" s="670" t="n">
        <v>857</v>
      </c>
      <c r="E17" s="670" t="n">
        <f>SUMPRODUCT(('برنامه خرد'!$N$2:$N$82=A17)*'برنامه خرد'!$R$2:$R$82*'برنامه خرد'!$AB$2:$AB$82)+SUMPRODUCT(('برنامه خرد'!$O$2:$O$82=A17)*'برنامه خرد'!$S$2:$S$82*'برنامه خرد'!$AB$2:$AB$82)</f>
        <v>0</v>
      </c>
      <c r="F17" s="670" t="n">
        <v>495</v>
      </c>
      <c r="G17" s="670" t="n">
        <f>SUMPRODUCT(('برنامه خرد'!$N$2:$N$82=A17)*'برنامه خرد'!$Z$2:$Z$82*'برنامه خرد'!$AB$2:$AB$82)+SUMPRODUCT(('برنامه خرد'!$O$2:$O$82=A17)*'برنامه خرد'!$AA$2:$AA$82*'برنامه خرد'!$AB$2:$AB$82)</f>
        <v>0</v>
      </c>
      <c r="H17" s="670" t="n">
        <v>315</v>
      </c>
      <c r="I17" s="670" t="n">
        <v>3</v>
      </c>
      <c r="J17" s="670" t="n">
        <v>3</v>
      </c>
      <c r="K17" s="261" t="str">
        <v>۱۴۰۵/۰۷/۲۲</v>
      </c>
      <c r="L17" s="61"/>
      <c r="M17" s="259" t="str">
        <v>نظریه‌های روان‌درمانی پروچاسکا</v>
      </c>
      <c r="N17" s="670" t="n">
        <v>857</v>
      </c>
      <c r="O17" s="670" t="n">
        <v>45</v>
      </c>
      <c r="P17" s="670" t="n">
        <v>19.04</v>
      </c>
      <c r="Q17" s="261" t="str">
        <v>نیازمند تأیید سرعت مطالعه</v>
      </c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</row>
    <row r="18" ht="26" customHeight="1">
      <c r="A18" s="263" t="str">
        <v>روان‌شناسی رشد کرین</v>
      </c>
      <c r="B18" s="671" t="n">
        <v>89</v>
      </c>
      <c r="C18" s="671" t="n">
        <f>(SUMPRODUCT(('برنامه خرد'!$N$2:$N$82=A18)*'برنامه خرد'!$L$2:$L$82*'برنامه خرد'!$AB$2:$AB$82)+SUMPRODUCT(('برنامه خرد'!$O$2:$O$82=A18)*'برنامه خرد'!$M$2:$M$82*'برنامه خرد'!$AB$2:$AB$82))/60</f>
        <v>0</v>
      </c>
      <c r="D18" s="671" t="n">
        <v>525</v>
      </c>
      <c r="E18" s="671" t="n">
        <f>SUMPRODUCT(('برنامه خرد'!$N$2:$N$82=A18)*'برنامه خرد'!$R$2:$R$82*'برنامه خرد'!$AB$2:$AB$82)+SUMPRODUCT(('برنامه خرد'!$O$2:$O$82=A18)*'برنامه خرد'!$S$2:$S$82*'برنامه خرد'!$AB$2:$AB$82)</f>
        <v>0</v>
      </c>
      <c r="F18" s="671" t="n">
        <v>371</v>
      </c>
      <c r="G18" s="671" t="n">
        <f>SUMPRODUCT(('برنامه خرد'!$N$2:$N$82=A18)*'برنامه خرد'!$Z$2:$Z$82*'برنامه خرد'!$AB$2:$AB$82)+SUMPRODUCT(('برنامه خرد'!$O$2:$O$82=A18)*'برنامه خرد'!$AA$2:$AA$82*'برنامه خرد'!$AB$2:$AB$82)</f>
        <v>0</v>
      </c>
      <c r="H18" s="671" t="n">
        <v>265</v>
      </c>
      <c r="I18" s="671" t="n">
        <v>2</v>
      </c>
      <c r="J18" s="671" t="n">
        <v>2</v>
      </c>
      <c r="K18" s="268" t="str">
        <v>۱۴۰۵/۰۷/۲۱</v>
      </c>
      <c r="L18" s="61"/>
      <c r="M18" s="266" t="str">
        <v>روان‌شناسی رشد کرین</v>
      </c>
      <c r="N18" s="671" t="n">
        <v>525</v>
      </c>
      <c r="O18" s="671" t="n">
        <v>37.95</v>
      </c>
      <c r="P18" s="671" t="n">
        <v>13.83</v>
      </c>
      <c r="Q18" s="268" t="str">
        <v>نیازمند تأیید سرعت مطالعه</v>
      </c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</row>
    <row r="19" ht="26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</row>
    <row r="20" ht="26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</row>
    <row r="21" ht="26" customHeight="1">
      <c r="A21" s="640" t="str">
        <v>کنترل هفتگی سهم آزمون و تحلیل</v>
      </c>
      <c r="B21" s="640"/>
      <c r="C21" s="640"/>
      <c r="D21" s="640"/>
      <c r="E21" s="640"/>
      <c r="F21" s="61"/>
      <c r="G21" s="712" t="str">
        <v>فرضیات مهم و شیوهٔ استفاده</v>
      </c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</row>
    <row r="22" ht="26" customHeight="1">
      <c r="A22" s="274" t="str">
        <v>هفته</v>
      </c>
      <c r="B22" s="274" t="str">
        <v>کل دقیقه</v>
      </c>
      <c r="C22" s="274" t="str">
        <v>دقیقه آزمون و تحلیل</v>
      </c>
      <c r="D22" s="274" t="str">
        <v>درصد</v>
      </c>
      <c r="E22" s="274" t="str">
        <v>نتیجهٔ کنترل</v>
      </c>
      <c r="F22" s="61"/>
      <c r="G22" s="641" t="str">
        <v>۱</v>
      </c>
      <c r="H22" s="316" t="str">
        <v>سرعت مطالعه</v>
      </c>
      <c r="I22" s="279" t="str">
        <v>امکان‌پذیری برنامه مشروط به دستیابی به سرعت‌های محاسبه‌شده در جدول بالاست.</v>
      </c>
      <c r="J22" s="274" t="str">
        <v>راهنمای رنگ‌ها</v>
      </c>
      <c r="K22" s="274"/>
      <c r="L22" s="274"/>
      <c r="M22" s="274"/>
      <c r="N22" s="274"/>
      <c r="O22" s="274"/>
      <c r="P22" s="274"/>
      <c r="Q22" s="274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</row>
    <row r="23" ht="26" customHeight="1">
      <c r="A23" s="672" t="n">
        <v>1</v>
      </c>
      <c r="B23" s="673" t="n">
        <f>SUMIF('برنامه خرد'!$K$2:$K$82,A23,'برنامه خرد'!$AG$2:$AG$82)</f>
        <v>1200</v>
      </c>
      <c r="C23" s="673" t="n">
        <f>SUMIF('برنامه خرد'!$K$2:$K$82,A23,'برنامه خرد'!$AH$2:$AH$82)</f>
        <v>340</v>
      </c>
      <c r="D23" s="301" t="n">
        <f>IFERROR(C23/B23,0)</f>
        <v>0.2833333333333333</v>
      </c>
      <c r="E23" s="288" t="str">
        <f>IF(AND(D23&gt;=25%,D23&lt;=35%),"معتبر","نیازمند بررسی")</f>
        <v>معتبر</v>
      </c>
      <c r="F23" s="61"/>
      <c r="G23" s="642" t="str">
        <v>۲</v>
      </c>
      <c r="H23" s="317" t="str">
        <v>دامنهٔ پروچاسکا</v>
      </c>
      <c r="I23" s="282" t="str">
        <v>صفحات ۴ تا ۸۶۰ مبناست و پیشگفتار و مقدمه در برنامه قرار نگرفته‌اند.</v>
      </c>
      <c r="J23" s="320" t="str">
        <v>آسیب‌شناسی روانی</v>
      </c>
      <c r="K23" s="321"/>
      <c r="L23" s="321"/>
      <c r="M23" s="321" t="str">
        <v>مطالب دشوار و نیازمند بازیابی مکرر</v>
      </c>
      <c r="N23" s="321"/>
      <c r="O23" s="321"/>
      <c r="P23" s="321"/>
      <c r="Q23" s="322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 ht="26" customHeight="1">
      <c r="A24" s="674" t="n">
        <v>2</v>
      </c>
      <c r="B24" s="675" t="n">
        <f>SUMIF('برنامه خرد'!$K$2:$K$82,A24,'برنامه خرد'!$AG$2:$AG$82)</f>
        <v>1680</v>
      </c>
      <c r="C24" s="675" t="n">
        <f>SUMIF('برنامه خرد'!$K$2:$K$82,A24,'برنامه خرد'!$AH$2:$AH$82)</f>
        <v>476</v>
      </c>
      <c r="D24" s="302" t="n">
        <f>IFERROR(C24/B24,0)</f>
        <v>0.2833333333333333</v>
      </c>
      <c r="E24" s="291" t="str">
        <f>IF(AND(D24&gt;=25%,D24&lt;=35%),"معتبر","نیازمند بررسی")</f>
        <v>معتبر</v>
      </c>
      <c r="F24" s="61"/>
      <c r="G24" s="642" t="str">
        <v>۳</v>
      </c>
      <c r="H24" s="317" t="str">
        <v>دامنهٔ رشد</v>
      </c>
      <c r="I24" s="282" t="str">
        <v>صفحات ۲۷ تا ۵۵ انجام‌شده محسوب شده و برنامه تا صفحهٔ ۵۸۰ ادامه دارد.</v>
      </c>
      <c r="J24" s="324" t="str">
        <v>نظریه‌های روان‌درمانی پروچاسکا</v>
      </c>
      <c r="K24" s="325"/>
      <c r="L24" s="325"/>
      <c r="M24" s="325" t="str">
        <v>ضریب بالاتر و اولویت آزمونی بیشتر</v>
      </c>
      <c r="N24" s="325"/>
      <c r="O24" s="325"/>
      <c r="P24" s="325"/>
      <c r="Q24" s="326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</row>
    <row r="25" ht="26" customHeight="1">
      <c r="A25" s="674" t="n">
        <v>3</v>
      </c>
      <c r="B25" s="675" t="n">
        <f>SUMIF('برنامه خرد'!$K$2:$K$82,A25,'برنامه خرد'!$AG$2:$AG$82)</f>
        <v>1680</v>
      </c>
      <c r="C25" s="675" t="n">
        <f>SUMIF('برنامه خرد'!$K$2:$K$82,A25,'برنامه خرد'!$AH$2:$AH$82)</f>
        <v>476</v>
      </c>
      <c r="D25" s="302" t="n">
        <f>IFERROR(C25/B25,0)</f>
        <v>0.2833333333333333</v>
      </c>
      <c r="E25" s="291" t="str">
        <f>IF(AND(D25&gt;=25%,D25&lt;=35%),"معتبر","نیازمند بررسی")</f>
        <v>معتبر</v>
      </c>
      <c r="F25" s="61"/>
      <c r="G25" s="642" t="str">
        <v>۴</v>
      </c>
      <c r="H25" s="317" t="str">
        <v>منابع تست</v>
      </c>
      <c r="I25" s="282" t="str">
        <v>برای منابع فاقد بانک مشخص، تعداد تست تعیین شده است؛ شماره یا بازهٔ ساختگی درج نشده است.</v>
      </c>
      <c r="J25" s="328" t="str">
        <v>روان‌شناسی رشد کرین</v>
      </c>
      <c r="K25" s="329"/>
      <c r="L25" s="329"/>
      <c r="M25" s="329" t="str">
        <v>متن مفهومی، پیچیده و فرّار</v>
      </c>
      <c r="N25" s="329"/>
      <c r="O25" s="329"/>
      <c r="P25" s="329"/>
      <c r="Q25" s="330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</row>
    <row r="26" ht="26" customHeight="1">
      <c r="A26" s="674" t="n">
        <v>4</v>
      </c>
      <c r="B26" s="675" t="n">
        <f>SUMIF('برنامه خرد'!$K$2:$K$82,A26,'برنامه خرد'!$AG$2:$AG$82)</f>
        <v>1680</v>
      </c>
      <c r="C26" s="675" t="n">
        <f>SUMIF('برنامه خرد'!$K$2:$K$82,A26,'برنامه خرد'!$AH$2:$AH$82)</f>
        <v>476</v>
      </c>
      <c r="D26" s="302" t="n">
        <f>IFERROR(C26/B26,0)</f>
        <v>0.2833333333333333</v>
      </c>
      <c r="E26" s="291" t="str">
        <f>IF(AND(D26&gt;=25%,D26&lt;=35%),"معتبر","نیازمند بررسی")</f>
        <v>معتبر</v>
      </c>
      <c r="F26" s="61"/>
      <c r="G26" s="642" t="str">
        <v>۵</v>
      </c>
      <c r="H26" s="317" t="str">
        <v>ثبت پیشرفت</v>
      </c>
      <c r="I26" s="282" t="str">
        <v>در ستون «چک‌لیست انجام» یکی از سه وضعیت انجام‌نشده، نیمه‌انجام یا انجام‌شده را انتخاب کنید.</v>
      </c>
      <c r="J26" s="332" t="str">
        <v>جمعه</v>
      </c>
      <c r="K26" s="333"/>
      <c r="L26" s="333"/>
      <c r="M26" s="333" t="str">
        <v>ایستگاه جبرانی و تثبیت</v>
      </c>
      <c r="N26" s="333"/>
      <c r="O26" s="333"/>
      <c r="P26" s="333"/>
      <c r="Q26" s="334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</row>
    <row r="27" ht="26" customHeight="1">
      <c r="A27" s="674" t="n">
        <v>5</v>
      </c>
      <c r="B27" s="675" t="n">
        <f>SUMIF('برنامه خرد'!$K$2:$K$82,A27,'برنامه خرد'!$AG$2:$AG$82)</f>
        <v>1680</v>
      </c>
      <c r="C27" s="675" t="n">
        <f>SUMIF('برنامه خرد'!$K$2:$K$82,A27,'برنامه خرد'!$AH$2:$AH$82)</f>
        <v>476</v>
      </c>
      <c r="D27" s="302" t="n">
        <f>IFERROR(C27/B27,0)</f>
        <v>0.2833333333333333</v>
      </c>
      <c r="E27" s="291" t="str">
        <f>IF(AND(D27&gt;=25%,D27&lt;=35%),"معتبر","نیازمند بررسی")</f>
        <v>معتبر</v>
      </c>
      <c r="F27" s="61"/>
      <c r="G27" s="643" t="str">
        <v>۶</v>
      </c>
      <c r="H27" s="318" t="str">
        <v>مرور تطبیقی</v>
      </c>
      <c r="I27" s="285" t="str">
        <v>پس از ثبت کیفیت بازیابی، تاریخ پیشنهادی مرور بعدی به‌صورت فرمولی محاسبه می‌شود.</v>
      </c>
      <c r="J27" s="337" t="str">
        <v>ورودی کاربر</v>
      </c>
      <c r="K27" s="338"/>
      <c r="L27" s="338"/>
      <c r="M27" s="338" t="str">
        <v>سلول‌های قابل تکمیل در مرور تطبیقی</v>
      </c>
      <c r="N27" s="338"/>
      <c r="O27" s="338"/>
      <c r="P27" s="338"/>
      <c r="Q27" s="339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</row>
    <row r="28" ht="26" customHeight="1">
      <c r="A28" s="674" t="n">
        <v>6</v>
      </c>
      <c r="B28" s="675" t="n">
        <f>SUMIF('برنامه خرد'!$K$2:$K$82,A28,'برنامه خرد'!$AG$2:$AG$82)</f>
        <v>1680</v>
      </c>
      <c r="C28" s="675" t="n">
        <f>SUMIF('برنامه خرد'!$K$2:$K$82,A28,'برنامه خرد'!$AH$2:$AH$82)</f>
        <v>476</v>
      </c>
      <c r="D28" s="302" t="n">
        <f>IFERROR(C28/B28,0)</f>
        <v>0.2833333333333333</v>
      </c>
      <c r="E28" s="291" t="str">
        <f>IF(AND(D28&gt;=25%,D28&lt;=35%),"معتبر","نیازمند بررسی")</f>
        <v>معتبر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</row>
    <row r="29" ht="26" customHeight="1">
      <c r="A29" s="674" t="n">
        <v>7</v>
      </c>
      <c r="B29" s="675" t="n">
        <f>SUMIF('برنامه خرد'!$K$2:$K$82,A29,'برنامه خرد'!$AG$2:$AG$82)</f>
        <v>1680</v>
      </c>
      <c r="C29" s="675" t="n">
        <f>SUMIF('برنامه خرد'!$K$2:$K$82,A29,'برنامه خرد'!$AH$2:$AH$82)</f>
        <v>476</v>
      </c>
      <c r="D29" s="302" t="n">
        <f>IFERROR(C29/B29,0)</f>
        <v>0.2833333333333333</v>
      </c>
      <c r="E29" s="291" t="str">
        <f>IF(AND(D29&gt;=25%,D29&lt;=35%),"معتبر","نیازمند بررسی")</f>
        <v>معتبر</v>
      </c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</row>
    <row r="30" ht="26" customHeight="1">
      <c r="A30" s="674" t="n">
        <v>8</v>
      </c>
      <c r="B30" s="675" t="n">
        <f>SUMIF('برنامه خرد'!$K$2:$K$82,A30,'برنامه خرد'!$AG$2:$AG$82)</f>
        <v>1680</v>
      </c>
      <c r="C30" s="675" t="n">
        <f>SUMIF('برنامه خرد'!$K$2:$K$82,A30,'برنامه خرد'!$AH$2:$AH$82)</f>
        <v>476</v>
      </c>
      <c r="D30" s="302" t="n">
        <f>IFERROR(C30/B30,0)</f>
        <v>0.2833333333333333</v>
      </c>
      <c r="E30" s="291" t="str">
        <f>IF(AND(D30&gt;=25%,D30&lt;=35%),"معتبر","نیازمند بررسی")</f>
        <v>معتبر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</row>
    <row r="31" ht="26" customHeight="1">
      <c r="A31" s="674" t="n">
        <v>9</v>
      </c>
      <c r="B31" s="675" t="n">
        <f>SUMIF('برنامه خرد'!$K$2:$K$82,A31,'برنامه خرد'!$AG$2:$AG$82)</f>
        <v>1680</v>
      </c>
      <c r="C31" s="675" t="n">
        <f>SUMIF('برنامه خرد'!$K$2:$K$82,A31,'برنامه خرد'!$AH$2:$AH$82)</f>
        <v>476</v>
      </c>
      <c r="D31" s="302" t="n">
        <f>IFERROR(C31/B31,0)</f>
        <v>0.2833333333333333</v>
      </c>
      <c r="E31" s="291" t="str">
        <f>IF(AND(D31&gt;=25%,D31&lt;=35%),"معتبر","نیازمند بررسی")</f>
        <v>معتبر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</row>
    <row r="32" ht="26" customHeight="1">
      <c r="A32" s="674" t="n">
        <v>10</v>
      </c>
      <c r="B32" s="675" t="n">
        <f>SUMIF('برنامه خرد'!$K$2:$K$82,A32,'برنامه خرد'!$AG$2:$AG$82)</f>
        <v>1680</v>
      </c>
      <c r="C32" s="675" t="n">
        <f>SUMIF('برنامه خرد'!$K$2:$K$82,A32,'برنامه خرد'!$AH$2:$AH$82)</f>
        <v>476</v>
      </c>
      <c r="D32" s="302" t="n">
        <f>IFERROR(C32/B32,0)</f>
        <v>0.2833333333333333</v>
      </c>
      <c r="E32" s="291" t="str">
        <f>IF(AND(D32&gt;=25%,D32&lt;=35%),"معتبر","نیازمند بررسی")</f>
        <v>معتبر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</row>
    <row r="33" ht="26" customHeight="1">
      <c r="A33" s="674" t="n">
        <v>11</v>
      </c>
      <c r="B33" s="675" t="n">
        <f>SUMIF('برنامه خرد'!$K$2:$K$82,A33,'برنامه خرد'!$AG$2:$AG$82)</f>
        <v>1680</v>
      </c>
      <c r="C33" s="675" t="n">
        <f>SUMIF('برنامه خرد'!$K$2:$K$82,A33,'برنامه خرد'!$AH$2:$AH$82)</f>
        <v>480</v>
      </c>
      <c r="D33" s="302" t="n">
        <f>IFERROR(C33/B33,0)</f>
        <v>0.2857142857142857</v>
      </c>
      <c r="E33" s="291" t="str">
        <f>IF(AND(D33&gt;=25%,D33&lt;=35%),"معتبر","نیازمند بررسی")</f>
        <v>معتبر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</row>
    <row r="34" ht="26" customHeight="1">
      <c r="A34" s="676" t="n">
        <v>12</v>
      </c>
      <c r="B34" s="677" t="n">
        <f>SUMIF('برنامه خرد'!$K$2:$K$82,A34,'برنامه خرد'!$AG$2:$AG$82)</f>
        <v>1440</v>
      </c>
      <c r="C34" s="677" t="n">
        <f>SUMIF('برنامه خرد'!$K$2:$K$82,A34,'برنامه خرد'!$AH$2:$AH$82)</f>
        <v>420</v>
      </c>
      <c r="D34" s="303" t="n">
        <f>IFERROR(C34/B34,0)</f>
        <v>0.2916666666666667</v>
      </c>
      <c r="E34" s="294" t="str">
        <f>IF(AND(D34&gt;=25%,D34&lt;=35%),"معتبر","نیازمند بررسی")</f>
        <v>معتبر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</row>
    <row r="36">
      <c r="A36" s="1269" t="str">
        <v>پایش اجرای واقعی برنامه</v>
      </c>
      <c r="B36" s="1269"/>
      <c r="C36" s="1269"/>
      <c r="D36" s="1269"/>
      <c r="E36" s="1269"/>
      <c r="F36" s="1269"/>
      <c r="G36" s="1269"/>
      <c r="H36" s="1269"/>
      <c r="I36" s="1269"/>
      <c r="J36" s="1269"/>
      <c r="K36" s="1269"/>
      <c r="L36" s="1269"/>
      <c r="M36" s="1269"/>
      <c r="N36" s="1269"/>
      <c r="O36" s="1269"/>
      <c r="P36" s="1269"/>
      <c r="Q36" s="1269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</row>
    <row r="37">
      <c r="A37" s="1385" t="str">
        <v>روزهای دارای گزارش</v>
      </c>
      <c r="B37" s="1386"/>
      <c r="C37" s="1386"/>
      <c r="D37" s="1386"/>
      <c r="E37" s="1387" t="str">
        <v>ساعت واقعی ثبت‌شده</v>
      </c>
      <c r="F37" s="1387"/>
      <c r="G37" s="1387"/>
      <c r="H37" s="1388"/>
      <c r="I37" s="1389" t="str">
        <v>میانگین تحقق روزهای ثبت‌شده</v>
      </c>
      <c r="J37" s="1390"/>
      <c r="K37" s="1391"/>
      <c r="L37" s="1391"/>
      <c r="M37" s="1392" t="str">
        <v>هفته‌های دارای گزارش</v>
      </c>
      <c r="N37" s="1392"/>
      <c r="O37" s="1392"/>
      <c r="P37" s="1392"/>
      <c r="Q37" s="1393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</row>
    <row r="38">
      <c r="A38" s="1394" t="n">
        <f>COUNTIF('گزارش روزانه'!$AA$11:$AA$91,1)</f>
        <v>0</v>
      </c>
      <c r="B38" s="1395"/>
      <c r="C38" s="1395"/>
      <c r="D38" s="1396"/>
      <c r="E38" s="1397" t="n">
        <f>SUM('گزارش روزانه'!$I$11:$I$91)/60</f>
        <v>0</v>
      </c>
      <c r="F38" s="1398"/>
      <c r="G38" s="1398"/>
      <c r="H38" s="1399"/>
      <c r="I38" s="1400" t="n">
        <f>IFERROR(SUM('گزارش روزانه'!$W$11:$W$91)/COUNTIF('گزارش روزانه'!$AA$11:$AA$91,1),0)</f>
        <v>0</v>
      </c>
      <c r="J38" s="1401"/>
      <c r="K38" s="1402"/>
      <c r="L38" s="1403"/>
      <c r="M38" s="1404" t="n">
        <f>COUNTIF('گزارش هفتگی'!$S$11:$S$22,"&gt;0")</f>
        <v>0</v>
      </c>
      <c r="N38" s="1405"/>
      <c r="O38" s="1405"/>
      <c r="P38" s="1405"/>
      <c r="Q38" s="1406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</row>
    <row r="39">
      <c r="A39" s="1407"/>
      <c r="B39" s="1408"/>
      <c r="C39" s="1408"/>
      <c r="D39" s="1409"/>
      <c r="E39" s="1410"/>
      <c r="F39" s="1411"/>
      <c r="G39" s="1411"/>
      <c r="H39" s="1412"/>
      <c r="I39" s="1413"/>
      <c r="J39" s="1413"/>
      <c r="K39" s="1414"/>
      <c r="L39" s="1415"/>
      <c r="M39" s="1416"/>
      <c r="N39" s="1417"/>
      <c r="O39" s="1417"/>
      <c r="P39" s="1417"/>
      <c r="Q39" s="1418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</row>
    <row r="40">
      <c r="A40" s="1419" t="str">
        <v>گزارش واقعی را در شیت «گزارش روزانه» ثبت کنید؛ شیت «گزارش هفتگی» به‌صورت خودکار از همان داده‌ها تکمیل می‌شود.</v>
      </c>
      <c r="B40" s="1420"/>
      <c r="C40" s="1420"/>
      <c r="D40" s="1420"/>
      <c r="E40" s="1420"/>
      <c r="F40" s="1420"/>
      <c r="G40" s="1420"/>
      <c r="H40" s="1420"/>
      <c r="I40" s="1420"/>
      <c r="J40" s="1420"/>
      <c r="K40" s="1420"/>
      <c r="L40" s="1420"/>
      <c r="M40" s="1420"/>
      <c r="N40" s="1420"/>
      <c r="O40" s="1420"/>
      <c r="P40" s="1420"/>
      <c r="Q40" s="142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</row>
    <row r="46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</row>
    <row r="4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</row>
    <row r="48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</row>
    <row r="49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</row>
    <row r="50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</row>
    <row r="5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</row>
    <row r="52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</row>
    <row r="5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</row>
    <row r="54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</row>
    <row r="5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</row>
  </sheetData>
  <mergeCells>
    <mergeCell ref="A1:H2"/>
    <mergeCell ref="D4:F4"/>
    <mergeCell ref="D5:F6"/>
    <mergeCell ref="M4:Q4"/>
    <mergeCell ref="A33:K33"/>
    <mergeCell ref="A1:Q2"/>
    <mergeCell ref="A3:Q3"/>
    <mergeCell ref="A5:C5"/>
    <mergeCell ref="A6:C7"/>
    <mergeCell ref="D5:F5"/>
    <mergeCell ref="D6:F7"/>
    <mergeCell ref="G5:I5"/>
    <mergeCell ref="G6:I7"/>
    <mergeCell ref="J5:L5"/>
    <mergeCell ref="J6:L7"/>
    <mergeCell ref="M5:Q5"/>
    <mergeCell ref="M6:Q7"/>
    <mergeCell ref="A9:F9"/>
    <mergeCell ref="A10:F12"/>
    <mergeCell ref="H9:L9"/>
    <mergeCell ref="H10:L12"/>
    <mergeCell ref="N9:Q9"/>
    <mergeCell ref="N10:Q12"/>
    <mergeCell ref="A14:K14"/>
    <mergeCell ref="M14:Q14"/>
    <mergeCell ref="A21:E21"/>
    <mergeCell ref="G21:Q21"/>
    <mergeCell ref="J22:Q22"/>
    <mergeCell ref="J23:L23"/>
    <mergeCell ref="M23:Q23"/>
    <mergeCell ref="J24:L24"/>
    <mergeCell ref="M24:Q24"/>
    <mergeCell ref="J25:L25"/>
    <mergeCell ref="M25:Q25"/>
    <mergeCell ref="J26:L26"/>
    <mergeCell ref="M26:Q26"/>
    <mergeCell ref="J27:L27"/>
    <mergeCell ref="M27:Q27"/>
    <mergeCell ref="A36:Q36"/>
    <mergeCell ref="A37:H39"/>
    <mergeCell ref="J37:Q39"/>
    <mergeCell ref="A40:Q40"/>
    <mergeCell ref="A37:D37"/>
    <mergeCell ref="A38:D39"/>
    <mergeCell ref="E37:H37"/>
    <mergeCell ref="E38:H39"/>
    <mergeCell ref="I37:L37"/>
    <mergeCell ref="I38:L39"/>
    <mergeCell ref="M37:Q37"/>
    <mergeCell ref="M38:Q39"/>
  </mergeCells>
  <conditionalFormatting sqref="D5:F6">
    <cfRule type="dataBar" priority="1">
      <dataBar>
        <cfvo type="min"/>
        <cfvo type="max"/>
        <color rgb="FF0F766E"/>
      </dataBar>
      <extLst>
        <ext uri="{B025F937-C7B1-47D3-B67F-A62EFF666E3E}">
          <ns1:id>{A1BD68AF-170E-CDA4-102F-79473C074DEA}</ns1:id>
        </ext>
      </extLst>
    </cfRule>
  </conditionalFormatting>
  <conditionalFormatting sqref="A10:F12">
    <cfRule type="dataBar" priority="2">
      <dataBar>
        <cfvo type="min"/>
        <cfvo type="max"/>
        <color rgb="FF0F766E"/>
      </dataBar>
      <extLst>
        <ext uri="{B025F937-C7B1-47D3-B67F-A62EFF666E3E}">
          <ns1:id>{8337768E-140E-E275-476B-A4F9A4F4F5A0}</ns1:id>
        </ext>
      </extLst>
    </cfRule>
  </conditionalFormatting>
  <conditionalFormatting sqref="D23:D34">
    <cfRule type="colorScale" priority="3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E23:E34">
    <cfRule type="expression" dxfId="10" priority="4">
      <formula>E23="معتبر"</formula>
    </cfRule>
    <cfRule type="expression" dxfId="11" priority="5">
      <formula>E23="نیازمند بررسی"</formula>
    </cfRule>
  </conditionalFormatting>
  <pageMargins left="0.7" right="0.7" top="0.75" bottom="0.75" header="0.3" footer="0.3"/>
  <drawing ns2:id="R96ba6b277ad74104"/>
  <extLst>
    <ext uri="{78C0D931-6437-407d-A8EE-F0AAD7539E65}">
      <ns1:conditionalFormattings>
        <ns1:conditionalFormatting>
          <ns1:cfRule type="dataBar" priority="1" id="{A1BD68AF-170E-CDA4-102F-79473C074DEA}">
            <ns1:dataBar gradient="1">
              <ns1:cfvo type="min"/>
              <ns1:cfvo type="max"/>
              <ns1:fillColor rgb="FF0F766E"/>
            </ns1:dataBar>
          </ns1:cfRule>
          <ns3:sqref>D5:F6</ns3:sqref>
        </ns1:conditionalFormatting>
        <ns1:conditionalFormatting>
          <ns1:cfRule type="dataBar" priority="2" id="{8337768E-140E-E275-476B-A4F9A4F4F5A0}">
            <ns1:dataBar gradient="1">
              <ns1:cfvo type="min"/>
              <ns1:cfvo type="max"/>
              <ns1:fillColor rgb="FF0F766E"/>
            </ns1:dataBar>
          </ns1:cfRule>
          <ns3:sqref>A10:F12</ns3:sqref>
        </ns1:conditionalFormatting>
      </ns1:conditionalFormattings>
    </ext>
  </extLst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 rightToLeft="1"/>
  </sheetViews>
  <sheetFormatPr defaultRowHeight="15"/>
  <cols>
    <col min="1" max="1" width="15" hidden="0" customWidth="1"/>
    <col min="2" max="2" width="12" hidden="0" customWidth="1"/>
    <col min="3" max="3" width="61" hidden="0" customWidth="1"/>
    <col min="4" max="4" width="61" hidden="0" customWidth="1"/>
    <col min="5" max="5" width="37" hidden="0" customWidth="1"/>
    <col min="6" max="6" width="13" hidden="0" customWidth="1"/>
    <col min="7" max="7" width="17" hidden="0" customWidth="1"/>
    <col min="8" max="8" width="46" hidden="0" customWidth="1"/>
    <col min="9" max="9" width="0.10000000149011612" hidden="0" customWidth="1"/>
    <col min="10" max="10" width="0.10000000149011612" hidden="0" customWidth="1"/>
    <col min="11" max="11" width="0.10000000149011612" hidden="0" customWidth="1"/>
    <col min="12" max="12" width="0.10000000149011612" hidden="0" customWidth="1"/>
    <col min="13" max="13" width="0.10000000149011612" hidden="0" customWidth="1"/>
    <col min="14" max="14" width="0.10000000149011612" hidden="0" customWidth="1"/>
    <col min="15" max="15" width="0.10000000149011612" hidden="0" customWidth="1"/>
    <col min="16" max="16" width="0.10000000149011612" hidden="0" customWidth="1"/>
    <col min="17" max="17" width="0.10000000149011612" hidden="0" customWidth="1"/>
    <col min="18" max="18" width="0.10000000149011612" hidden="0" customWidth="1"/>
    <col min="19" max="19" width="0.10000000149011612" hidden="0" customWidth="1"/>
    <col min="20" max="20" width="0.10000000149011612" hidden="0" customWidth="1"/>
    <col min="21" max="21" width="0.10000000149011612" hidden="0" customWidth="1"/>
    <col min="22" max="22" width="0.10000000149011612" hidden="0" customWidth="1"/>
    <col min="23" max="23" width="0.10000000149011612" hidden="0" customWidth="1"/>
    <col min="24" max="24" width="0.10000000149011612" hidden="0" customWidth="1"/>
    <col min="25" max="25" width="0.10000000149011612" hidden="0" customWidth="1"/>
    <col min="26" max="26" width="0.10000000149011612" hidden="0" customWidth="1"/>
    <col min="27" max="27" width="0.10000000149011612" hidden="0" customWidth="1"/>
    <col min="28" max="28" width="0.10000000149011612" hidden="0" customWidth="1"/>
    <col min="29" max="29" width="0.10000000149011612" hidden="0" customWidth="1"/>
    <col min="30" max="30" width="0.10000000149011612" hidden="0" customWidth="1"/>
    <col min="31" max="31" width="0.10000000149011612" hidden="0" customWidth="1"/>
    <col min="32" max="32" width="0.10000000149011612" hidden="0" customWidth="1"/>
    <col min="33" max="33" width="0.10000000149011612" hidden="0" customWidth="1"/>
    <col min="34" max="34" width="0.10000000149011612" hidden="0" customWidth="1"/>
    <col min="35" max="35" width="0.10000000149011612" hidden="0" customWidth="1"/>
    <col min="36" max="36" width="0.10000000149011612" hidden="0" customWidth="1"/>
    <col min="37" max="37" width="0.10000000149011612" hidden="0" customWidth="1"/>
    <col min="38" max="38" width="0.10000000149011612" hidden="0" customWidth="1"/>
    <col min="39" max="39" width="0.10000000149011612" hidden="0" customWidth="1"/>
  </cols>
  <sheetData>
    <row r="1" ht="62" customHeight="1">
      <c r="A1" s="644" t="str">
        <v>تاریخ شمسی</v>
      </c>
      <c r="B1" s="645" t="str">
        <v>روز هفته</v>
      </c>
      <c r="C1" s="645" t="str">
        <v>پارت ۱: نام درس — فصل — عنوان دقیق — بازه صفحه/واحد</v>
      </c>
      <c r="D1" s="645" t="str">
        <v>پارت ۲: نام درس — فصل — عنوان دقیق — بازه صفحه/واحد</v>
      </c>
      <c r="E1" s="645" t="str">
        <v>نوع فعالیت</v>
      </c>
      <c r="F1" s="645" t="str">
        <v>تعداد تست مقرر‌شده</v>
      </c>
      <c r="G1" s="645" t="str">
        <v>چک‌لیست انجام</v>
      </c>
      <c r="H1" s="646" t="str">
        <v>یادداشت‌ها و نکات اجرایی</v>
      </c>
      <c r="I1" s="647" t="str">
        <v>تاریخ میلادی</v>
      </c>
      <c r="J1" s="647" t="str">
        <v>شماره روز برنامه</v>
      </c>
      <c r="K1" s="647" t="str">
        <v>شماره هفته</v>
      </c>
      <c r="L1" s="647" t="str">
        <v>مدت پارت ۱</v>
      </c>
      <c r="M1" s="647" t="str">
        <v>مدت پارت ۲</v>
      </c>
      <c r="N1" s="647" t="str">
        <v>درس پارت ۱</v>
      </c>
      <c r="O1" s="647" t="str">
        <v>درس پارت ۲</v>
      </c>
      <c r="P1" s="647" t="str">
        <v>شناسه واحد پارت ۱</v>
      </c>
      <c r="Q1" s="647" t="str">
        <v>شناسه واحد پارت ۲</v>
      </c>
      <c r="R1" s="647" t="str">
        <v>صفحات جدید پارت ۱</v>
      </c>
      <c r="S1" s="647" t="str">
        <v>صفحات جدید پارت ۲</v>
      </c>
      <c r="T1" s="647" t="str">
        <v>دقیقه مطالعه اولیه</v>
      </c>
      <c r="U1" s="647" t="str">
        <v>دقیقه بازیابی همان‌جلسه</v>
      </c>
      <c r="V1" s="647" t="str">
        <v>دقیقه مرور فاصله‌دار</v>
      </c>
      <c r="W1" s="647" t="str">
        <v>دقیقه تست</v>
      </c>
      <c r="X1" s="647" t="str">
        <v>دقیقه تحلیل تست</v>
      </c>
      <c r="Y1" s="647" t="str">
        <v>دقیقه ایستگاه جبرانی</v>
      </c>
      <c r="Z1" s="647" t="str">
        <v>تعداد تست پارت ۱</v>
      </c>
      <c r="AA1" s="647" t="str">
        <v>تعداد تست پارت ۲</v>
      </c>
      <c r="AB1" s="647" t="str">
        <v>امتیاز عددی تکمیل</v>
      </c>
      <c r="AC1" s="647" t="str">
        <v>پرچم جمعه</v>
      </c>
      <c r="AD1" s="647" t="str">
        <v>تعداد درس یکتا</v>
      </c>
      <c r="AE1" s="647" t="str">
        <v>پرچم تجاوز از محدودیت</v>
      </c>
      <c r="AF1" s="647" t="str">
        <v>وضعیت ممیزی</v>
      </c>
      <c r="AG1" s="647" t="str">
        <v>دقیقه کل</v>
      </c>
      <c r="AH1" s="647" t="str">
        <v>دقیقه آزمون و تحلیل</v>
      </c>
      <c r="AI1" s="647" t="str">
        <v>صفحه جدید کل</v>
      </c>
      <c r="AJ1" s="647" t="str">
        <v>تست کل</v>
      </c>
      <c r="AK1" s="647" t="str">
        <v>زمان درس ۱</v>
      </c>
      <c r="AL1" s="647" t="str">
        <v>زمان درس ۲</v>
      </c>
      <c r="AM1" s="647" t="str">
        <v>دقیقه بازخورد</v>
      </c>
    </row>
    <row r="2" ht="96" customHeight="1">
      <c r="A2" s="648" t="str">
        <v>۱۴۰۵/۰۵/۱۲</v>
      </c>
      <c r="B2" s="378" t="str">
        <v>دوشنبه</v>
      </c>
      <c r="C2" s="367" t="str">
        <v>[۱۵۰ دقیقه | آسیب‌شناسی روانی] مطالعه فصل ۱: تعریف اختلال روانی، ص ۲ تا ۲۲ (U001)، ۸۷ دقیقه + بازیابیِ بسته‌کتاب همان‌جلسه، ۲۰ دقیقه + بازخورد و اصلاح، ۱۰ دقیقه + مرور بازیابی‌محور نقاط ضعف همان درس، ۵ دقیقه + آزمونک ۷ سؤالی و تحلیل کامل، ۲۸ دقیقه</v>
      </c>
      <c r="D2" s="367" t="str">
        <v>[۹۰ دقیقه | آسیب‌شناسی روانی] مطالعه فصل ۱: تعریف اختلال روانی، ص ۲۳ تا ۲۸ (U002)، ۲۵ دقیقه + بازیابیِ بسته‌کتاب همان‌جلسه، ۱۰ دقیقه + بازخورد و اصلاح، ۵ دقیقه + مرور بازیابی‌محور نقاط ضعف همان درس، ۱۰ دقیقه + آزمونک ۱۰ سؤالی و تحلیل کامل، ۴۰ دقیقه</v>
      </c>
      <c r="E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" s="678" t="n">
        <v>17</v>
      </c>
      <c r="G2" s="378" t="str">
        <v>انجام‌نشده</v>
      </c>
      <c r="H2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2" s="1422" t="n">
        <v>46237</v>
      </c>
      <c r="J2" s="1423" t="n">
        <v>1</v>
      </c>
      <c r="K2" s="1423" t="n">
        <v>1</v>
      </c>
      <c r="L2" s="1423" t="n">
        <v>150</v>
      </c>
      <c r="M2" s="1423" t="n">
        <v>90</v>
      </c>
      <c r="N2" s="1423" t="str">
        <v>آسیب‌شناسی روانی</v>
      </c>
      <c r="O2" s="1423" t="str">
        <v>آسیب‌شناسی روانی</v>
      </c>
      <c r="P2" s="1423" t="str">
        <v>U001</v>
      </c>
      <c r="Q2" s="1423" t="str">
        <v>U002</v>
      </c>
      <c r="R2" s="1423" t="n">
        <v>21</v>
      </c>
      <c r="S2" s="1423" t="n">
        <v>6</v>
      </c>
      <c r="T2" s="1423" t="n">
        <v>112</v>
      </c>
      <c r="U2" s="1423" t="n">
        <v>30</v>
      </c>
      <c r="V2" s="1423" t="n">
        <v>15</v>
      </c>
      <c r="W2" s="1423" t="n">
        <v>32</v>
      </c>
      <c r="X2" s="1423" t="n">
        <v>36</v>
      </c>
      <c r="Y2" s="1423" t="n">
        <v>0</v>
      </c>
      <c r="Z2" s="1423" t="n">
        <v>7</v>
      </c>
      <c r="AA2" s="1423" t="n">
        <v>10</v>
      </c>
      <c r="AB2" s="1423" t="n">
        <f>IF(G2="انجام‌شده",1,IF(G2="نیمه‌انجام",0.5,0))</f>
        <v>0</v>
      </c>
      <c r="AC2" s="1423" t="str">
        <v>خیر</v>
      </c>
      <c r="AD2" s="1423" t="n">
        <v>1</v>
      </c>
      <c r="AE2" s="1423" t="n">
        <f>IF(OR(AG2&lt;&gt;240,AD2&gt;2,AND(AC2="بله",OR(L2&lt;&gt;150,M2&lt;&gt;90))),1,0)</f>
        <v>0</v>
      </c>
      <c r="AF2" s="1423" t="str">
        <f>IF(AE2=0,"معتبر","نیازمند بررسی")</f>
        <v>معتبر</v>
      </c>
      <c r="AG2" s="1423" t="n">
        <v>240</v>
      </c>
      <c r="AH2" s="1423" t="n">
        <v>68</v>
      </c>
      <c r="AI2" s="1423" t="n">
        <v>27</v>
      </c>
      <c r="AJ2" s="1423" t="n">
        <v>17</v>
      </c>
      <c r="AK2" s="1423" t="n">
        <v>150</v>
      </c>
      <c r="AL2" s="1423" t="n">
        <v>90</v>
      </c>
      <c r="AM2" s="1423" t="n">
        <v>15</v>
      </c>
    </row>
    <row r="3" ht="96" customHeight="1">
      <c r="A3" s="652" t="str">
        <v>۱۴۰۵/۰۵/۱۳</v>
      </c>
      <c r="B3" s="290" t="str">
        <v>سه‌شنبه</v>
      </c>
      <c r="C3" s="281" t="str">
        <v>[۱۵۰ دقیقه | آسیب‌شناسی روانی] مطالعه فصل ۱: تعریف اختلال روانی، ص ۲۹ تا ۴۹ (U003)، ۸۷ دقیقه + بازیابیِ بسته‌کتاب همان‌جلسه، ۲۰ دقیقه + بازخورد و اصلاح، ۱۰ دقیقه + مرور D+1 برای U001، U002، ۵ دقیقه + آزمونک ۷ سؤالی و تحلیل کامل، ۲۸ دقیقه</v>
      </c>
      <c r="D3" s="281" t="str">
        <v>[۹۰ دقیقه | نظریه‌های روان‌درمانی پروچاسکا] مطالعه فصل ۱: تعریف و مقایسه روان‌درمانی‌ها: چارچوب یکپارچه‌نگر، ص ۴ تا ۱۱ (U065)، ۲۵ دقیقه + بازیابیِ بسته‌کتاب همان‌جلسه، ۱۰ دقیقه + بازخورد و اصلاح، ۵ دقیقه + مرور بازیابی‌محور نقاط ضعف همان درس، ۱۰ دقیقه + آزمونک ۱۰ سؤالی و تحلیل کامل، ۴۰ دقیقه</v>
      </c>
      <c r="E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" s="678" t="n">
        <v>17</v>
      </c>
      <c r="G3" s="290" t="str">
        <v>انجام‌نشده</v>
      </c>
      <c r="H3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3" s="1422" t="n">
        <v>46238</v>
      </c>
      <c r="J3" s="1423" t="n">
        <v>2</v>
      </c>
      <c r="K3" s="1423" t="n">
        <v>1</v>
      </c>
      <c r="L3" s="1423" t="n">
        <v>150</v>
      </c>
      <c r="M3" s="1423" t="n">
        <v>90</v>
      </c>
      <c r="N3" s="1423" t="str">
        <v>آسیب‌شناسی روانی</v>
      </c>
      <c r="O3" s="1423" t="str">
        <v>نظریه‌های روان‌درمانی پروچاسکا</v>
      </c>
      <c r="P3" s="1423" t="str">
        <v>U003</v>
      </c>
      <c r="Q3" s="1423" t="str">
        <v>U065</v>
      </c>
      <c r="R3" s="1423" t="n">
        <v>21</v>
      </c>
      <c r="S3" s="1423" t="n">
        <v>8</v>
      </c>
      <c r="T3" s="1423" t="n">
        <v>112</v>
      </c>
      <c r="U3" s="1423" t="n">
        <v>30</v>
      </c>
      <c r="V3" s="1423" t="n">
        <v>15</v>
      </c>
      <c r="W3" s="1423" t="n">
        <v>32</v>
      </c>
      <c r="X3" s="1423" t="n">
        <v>36</v>
      </c>
      <c r="Y3" s="1423" t="n">
        <v>0</v>
      </c>
      <c r="Z3" s="1423" t="n">
        <v>7</v>
      </c>
      <c r="AA3" s="1423" t="n">
        <v>10</v>
      </c>
      <c r="AB3" s="1423" t="n">
        <f>IF(G3="انجام‌شده",1,IF(G3="نیمه‌انجام",0.5,0))</f>
        <v>0</v>
      </c>
      <c r="AC3" s="1423" t="str">
        <v>خیر</v>
      </c>
      <c r="AD3" s="1423" t="n">
        <v>2</v>
      </c>
      <c r="AE3" s="1423" t="n">
        <f>IF(OR(AG3&lt;&gt;240,AD3&gt;2,AND(AC3="بله",OR(L3&lt;&gt;150,M3&lt;&gt;90))),1,0)</f>
        <v>0</v>
      </c>
      <c r="AF3" s="1423" t="str">
        <f>IF(AE3=0,"معتبر","نیازمند بررسی")</f>
        <v>معتبر</v>
      </c>
      <c r="AG3" s="1423" t="n">
        <v>240</v>
      </c>
      <c r="AH3" s="1423" t="n">
        <v>68</v>
      </c>
      <c r="AI3" s="1423" t="n">
        <v>29</v>
      </c>
      <c r="AJ3" s="1423" t="n">
        <v>17</v>
      </c>
      <c r="AK3" s="1423" t="n">
        <v>150</v>
      </c>
      <c r="AL3" s="1423" t="n">
        <v>90</v>
      </c>
      <c r="AM3" s="1423" t="n">
        <v>15</v>
      </c>
    </row>
    <row r="4" ht="96" customHeight="1">
      <c r="A4" s="648" t="str">
        <v>۱۴۰۵/۰۵/۱۴</v>
      </c>
      <c r="B4" s="378" t="str">
        <v>چهارشنبه</v>
      </c>
      <c r="C4" s="367" t="str">
        <v>[۱۵۰ دقیقه | آسیب‌شناسی روانی] مطالعه فصل ۱: تعریف اختلال روانی، ص ۵۰ تا ۷۰ (U004)، ۸۷ دقیقه + بازیابیِ بسته‌کتاب همان‌جلسه، ۲۰ دقیقه + بازخورد و اصلاح، ۱۰ دقیقه + مرور D+1 برای U003، ۵ دقیقه + آزمونک ۷ سؤالی و تحلیل کامل، ۲۸ دقیقه</v>
      </c>
      <c r="D4" s="367" t="str">
        <v>[۹۰ دقیقه | نظریه‌های روان‌درمانی پروچاسکا] مطالعه فصل ۱: تعریف و مقایسه روان‌درمانی‌ها: چارچوب یکپارچه‌نگر، ص ۱۲ تا ۱۹ (U066)، ۲۵ دقیقه + بازیابیِ بسته‌کتاب همان‌جلسه، ۱۰ دقیقه + بازخورد و اصلاح، ۵ دقیقه + مرور D+1 برای U065، ۱۰ دقیقه + آزمونک ۱۰ سؤالی و تحلیل کامل، ۴۰ دقیقه</v>
      </c>
      <c r="E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" s="678" t="n">
        <v>17</v>
      </c>
      <c r="G4" s="378" t="str">
        <v>انجام‌نشده</v>
      </c>
      <c r="H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4" s="1422" t="n">
        <v>46239</v>
      </c>
      <c r="J4" s="1423" t="n">
        <v>3</v>
      </c>
      <c r="K4" s="1423" t="n">
        <v>1</v>
      </c>
      <c r="L4" s="1423" t="n">
        <v>150</v>
      </c>
      <c r="M4" s="1423" t="n">
        <v>90</v>
      </c>
      <c r="N4" s="1423" t="str">
        <v>آسیب‌شناسی روانی</v>
      </c>
      <c r="O4" s="1423" t="str">
        <v>نظریه‌های روان‌درمانی پروچاسکا</v>
      </c>
      <c r="P4" s="1423" t="str">
        <v>U004</v>
      </c>
      <c r="Q4" s="1423" t="str">
        <v>U066</v>
      </c>
      <c r="R4" s="1423" t="n">
        <v>21</v>
      </c>
      <c r="S4" s="1423" t="n">
        <v>8</v>
      </c>
      <c r="T4" s="1423" t="n">
        <v>112</v>
      </c>
      <c r="U4" s="1423" t="n">
        <v>30</v>
      </c>
      <c r="V4" s="1423" t="n">
        <v>15</v>
      </c>
      <c r="W4" s="1423" t="n">
        <v>32</v>
      </c>
      <c r="X4" s="1423" t="n">
        <v>36</v>
      </c>
      <c r="Y4" s="1423" t="n">
        <v>0</v>
      </c>
      <c r="Z4" s="1423" t="n">
        <v>7</v>
      </c>
      <c r="AA4" s="1423" t="n">
        <v>10</v>
      </c>
      <c r="AB4" s="1423" t="n">
        <f>IF(G4="انجام‌شده",1,IF(G4="نیمه‌انجام",0.5,0))</f>
        <v>0</v>
      </c>
      <c r="AC4" s="1423" t="str">
        <v>خیر</v>
      </c>
      <c r="AD4" s="1423" t="n">
        <v>2</v>
      </c>
      <c r="AE4" s="1423" t="n">
        <f>IF(OR(AG4&lt;&gt;240,AD4&gt;2,AND(AC4="بله",OR(L4&lt;&gt;150,M4&lt;&gt;90))),1,0)</f>
        <v>0</v>
      </c>
      <c r="AF4" s="1423" t="str">
        <f>IF(AE4=0,"معتبر","نیازمند بررسی")</f>
        <v>معتبر</v>
      </c>
      <c r="AG4" s="1423" t="n">
        <v>240</v>
      </c>
      <c r="AH4" s="1423" t="n">
        <v>68</v>
      </c>
      <c r="AI4" s="1423" t="n">
        <v>29</v>
      </c>
      <c r="AJ4" s="1423" t="n">
        <v>17</v>
      </c>
      <c r="AK4" s="1423" t="n">
        <v>150</v>
      </c>
      <c r="AL4" s="1423" t="n">
        <v>90</v>
      </c>
      <c r="AM4" s="1423" t="n">
        <v>15</v>
      </c>
    </row>
    <row r="5" ht="96" customHeight="1">
      <c r="A5" s="652" t="str">
        <v>۱۴۰۵/۰۵/۱۵</v>
      </c>
      <c r="B5" s="290" t="str">
        <v>پنجشنبه</v>
      </c>
      <c r="C5" s="281" t="str">
        <v>[۱۵۰ دقیقه | نظریه‌های روان‌درمانی پروچاسکا] مطالعه فصل ۱: تعریف و مقایسه روان‌درمانی‌ها: چارچوب یکپارچه‌نگر، ص ۲۰ تا ۳۴ (U067)؛ فصل ۲: درمان‌های روان‌کاوی، ص ۳۵ تا ۴۷ (U068)، ۸۷ دقیقه + بازیابیِ بسته‌کتاب همان‌جلسه، ۲۰ دقیقه + بازخورد و اصلاح، ۱۰ دقیقه + مرور D+1 برای U066، ۵ دقیقه + آزمونک ۷ سؤالی و تحلیل کامل، ۲۸ دقیقه</v>
      </c>
      <c r="D5" s="281" t="str">
        <v>[۹۰ دقیقه | آسیب‌شناسی روانی] مطالعه فصل ۱: تعریف اختلال روانی، ص ۷۱ تا ۷۶ (U005)، ۲۵ دقیقه + بازیابیِ بسته‌کتاب همان‌جلسه، ۱۰ دقیقه + بازخورد و اصلاح، ۵ دقیقه + مرور D+1/D+3 برای U001، U002، U004، ۱۰ دقیقه + آزمونک ۱۰ سؤالی و تحلیل کامل، ۴۰ دقیقه</v>
      </c>
      <c r="E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" s="678" t="n">
        <v>17</v>
      </c>
      <c r="G5" s="290" t="str">
        <v>انجام‌نشده</v>
      </c>
      <c r="H5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5" s="1422" t="n">
        <v>46240</v>
      </c>
      <c r="J5" s="1423" t="n">
        <v>4</v>
      </c>
      <c r="K5" s="1423" t="n">
        <v>1</v>
      </c>
      <c r="L5" s="1423" t="n">
        <v>150</v>
      </c>
      <c r="M5" s="1423" t="n">
        <v>90</v>
      </c>
      <c r="N5" s="1423" t="str">
        <v>نظریه‌های روان‌درمانی پروچاسکا</v>
      </c>
      <c r="O5" s="1423" t="str">
        <v>آسیب‌شناسی روانی</v>
      </c>
      <c r="P5" s="1423" t="str">
        <v>U067، U068</v>
      </c>
      <c r="Q5" s="1423" t="str">
        <v>U005</v>
      </c>
      <c r="R5" s="1423" t="n">
        <v>28</v>
      </c>
      <c r="S5" s="1423" t="n">
        <v>6</v>
      </c>
      <c r="T5" s="1423" t="n">
        <v>112</v>
      </c>
      <c r="U5" s="1423" t="n">
        <v>30</v>
      </c>
      <c r="V5" s="1423" t="n">
        <v>15</v>
      </c>
      <c r="W5" s="1423" t="n">
        <v>32</v>
      </c>
      <c r="X5" s="1423" t="n">
        <v>36</v>
      </c>
      <c r="Y5" s="1423" t="n">
        <v>0</v>
      </c>
      <c r="Z5" s="1423" t="n">
        <v>7</v>
      </c>
      <c r="AA5" s="1423" t="n">
        <v>10</v>
      </c>
      <c r="AB5" s="1423" t="n">
        <f>IF(G5="انجام‌شده",1,IF(G5="نیمه‌انجام",0.5,0))</f>
        <v>0</v>
      </c>
      <c r="AC5" s="1423" t="str">
        <v>خیر</v>
      </c>
      <c r="AD5" s="1423" t="n">
        <v>2</v>
      </c>
      <c r="AE5" s="1423" t="n">
        <f>IF(OR(AG5&lt;&gt;240,AD5&gt;2,AND(AC5="بله",OR(L5&lt;&gt;150,M5&lt;&gt;90))),1,0)</f>
        <v>0</v>
      </c>
      <c r="AF5" s="1423" t="str">
        <f>IF(AE5=0,"معتبر","نیازمند بررسی")</f>
        <v>معتبر</v>
      </c>
      <c r="AG5" s="1423" t="n">
        <v>240</v>
      </c>
      <c r="AH5" s="1423" t="n">
        <v>68</v>
      </c>
      <c r="AI5" s="1423" t="n">
        <v>34</v>
      </c>
      <c r="AJ5" s="1423" t="n">
        <v>17</v>
      </c>
      <c r="AK5" s="1423" t="n">
        <v>150</v>
      </c>
      <c r="AL5" s="1423" t="n">
        <v>90</v>
      </c>
      <c r="AM5" s="1423" t="n">
        <v>15</v>
      </c>
    </row>
    <row r="6" ht="96" customHeight="1">
      <c r="A6" s="648" t="str">
        <v>۱۴۰۵/۰۵/۱۶</v>
      </c>
      <c r="B6" s="378" t="str">
        <v>جمعه</v>
      </c>
      <c r="C6" s="367" t="str">
        <v>[۱۵۰ دقیقه | آسیب‌شناسی روانی] مطالعه فصل ۱: تعریف اختلال روانی، ص ۷۷ تا ۹۴ (U006)؛ فصل ۲: اختلال عصبی ـ رشدی، ص ۹۵ تا ۹۷ (U007)، ۸۷ دقیقه + بازیابیِ بسته‌کتاب همان‌جلسه، ۲۰ دقیقه + بازخورد و اصلاح، ۱۰ دقیقه + مرور D+1/D+3 برای U003، U005، ۵ دقیقه + آزمونک ۷ سؤالی و تحلیل کامل، ۲۸ دقیقه</v>
      </c>
      <c r="D6" s="367" t="str">
        <v>ایستگاه جبرانی و تثبیت — [۹۰ دقیقه | آسیب‌شناسی روانی] اولویت: بالاترین تکلیف ناتمام هفته؛ جایگزین ازپیش‌تعریف‌شده: مرور D+1/D+3 برای U003، U005 و اصلاح دفتر خطا، ۵۰ دقیقه + آزمون هدفمند ۱۰ سؤالی و تحلیل کامل، ۴۰ دقیقه</v>
      </c>
      <c r="E6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6" s="678" t="n">
        <v>17</v>
      </c>
      <c r="G6" s="378" t="str">
        <v>انجام‌نشده</v>
      </c>
      <c r="H6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6" s="1422" t="n">
        <v>46241</v>
      </c>
      <c r="J6" s="1423" t="n">
        <v>5</v>
      </c>
      <c r="K6" s="1423" t="n">
        <v>1</v>
      </c>
      <c r="L6" s="1423" t="n">
        <v>150</v>
      </c>
      <c r="M6" s="1423" t="n">
        <v>90</v>
      </c>
      <c r="N6" s="1423" t="str">
        <v>آسیب‌شناسی روانی</v>
      </c>
      <c r="O6" s="1423" t="str">
        <v>آسیب‌شناسی روانی</v>
      </c>
      <c r="P6" s="1423" t="str">
        <v>U006، U007</v>
      </c>
      <c r="Q6" s="1423" t="str">
        <v>ایستگاه جبرانی</v>
      </c>
      <c r="R6" s="1423" t="n">
        <v>21</v>
      </c>
      <c r="S6" s="1423" t="n">
        <v>0</v>
      </c>
      <c r="T6" s="1423" t="n">
        <v>87</v>
      </c>
      <c r="U6" s="1423" t="n">
        <v>20</v>
      </c>
      <c r="V6" s="1423" t="n">
        <v>55</v>
      </c>
      <c r="W6" s="1423" t="n">
        <v>32</v>
      </c>
      <c r="X6" s="1423" t="n">
        <v>36</v>
      </c>
      <c r="Y6" s="1423" t="n">
        <v>90</v>
      </c>
      <c r="Z6" s="1423" t="n">
        <v>7</v>
      </c>
      <c r="AA6" s="1423" t="n">
        <v>10</v>
      </c>
      <c r="AB6" s="1423" t="n">
        <f>IF(G6="انجام‌شده",1,IF(G6="نیمه‌انجام",0.5,0))</f>
        <v>0</v>
      </c>
      <c r="AC6" s="1423" t="str">
        <v>بله</v>
      </c>
      <c r="AD6" s="1423" t="n">
        <v>1</v>
      </c>
      <c r="AE6" s="1423" t="n">
        <f>IF(OR(AG6&lt;&gt;240,AD6&gt;2,AND(AC6="بله",OR(L6&lt;&gt;150,M6&lt;&gt;90))),1,0)</f>
        <v>0</v>
      </c>
      <c r="AF6" s="1423" t="str">
        <f>IF(AE6=0,"معتبر","نیازمند بررسی")</f>
        <v>معتبر</v>
      </c>
      <c r="AG6" s="1423" t="n">
        <v>240</v>
      </c>
      <c r="AH6" s="1423" t="n">
        <v>68</v>
      </c>
      <c r="AI6" s="1423" t="n">
        <v>21</v>
      </c>
      <c r="AJ6" s="1423" t="n">
        <v>17</v>
      </c>
      <c r="AK6" s="1423" t="n">
        <v>150</v>
      </c>
      <c r="AL6" s="1423" t="n">
        <v>90</v>
      </c>
      <c r="AM6" s="1423" t="n">
        <v>10</v>
      </c>
    </row>
    <row r="7" ht="96" customHeight="1">
      <c r="A7" s="652" t="str">
        <v>۱۴۰۵/۰۵/۱۷</v>
      </c>
      <c r="B7" s="290" t="str">
        <v>شنبه</v>
      </c>
      <c r="C7" s="281" t="str">
        <v>[۱۵۰ دقیقه | نظریه‌های روان‌درمانی پروچاسکا] مطالعه فصل ۲: درمان‌های روان‌کاوی، ص ۴۸ تا ۷۵ (U069)، ۸۷ دقیقه + بازیابیِ بسته‌کتاب همان‌جلسه، ۲۰ دقیقه + بازخورد و اصلاح، ۱۰ دقیقه + مرور D+1/D+3 برای U065، U066 و ۲ واحد دیگر، ۵ دقیقه + آزمونک ۷ سؤالی و تحلیل کامل، ۲۸ دقیقه</v>
      </c>
      <c r="D7" s="281" t="str">
        <v>[۹۰ دقیقه | آسیب‌شناسی روانی] مطالعه فصل ۲: اختلال عصبی ـ رشدی، ص ۹۸ تا ۱۰۳ (U008)، ۲۵ دقیقه + بازیابیِ بسته‌کتاب همان‌جلسه، ۱۰ دقیقه + بازخورد و اصلاح، ۵ دقیقه + مرور D+1/D+3 برای U004، U006، U007، ۱۰ دقیقه + آزمونک ۱۰ سؤالی و تحلیل کامل، ۴۰ دقیقه</v>
      </c>
      <c r="E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" s="678" t="n">
        <v>17</v>
      </c>
      <c r="G7" s="290" t="str">
        <v>انجام‌نشده</v>
      </c>
      <c r="H7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7" s="1422" t="n">
        <v>46242</v>
      </c>
      <c r="J7" s="1423" t="n">
        <v>6</v>
      </c>
      <c r="K7" s="1423" t="n">
        <v>2</v>
      </c>
      <c r="L7" s="1423" t="n">
        <v>150</v>
      </c>
      <c r="M7" s="1423" t="n">
        <v>90</v>
      </c>
      <c r="N7" s="1423" t="str">
        <v>نظریه‌های روان‌درمانی پروچاسکا</v>
      </c>
      <c r="O7" s="1423" t="str">
        <v>آسیب‌شناسی روانی</v>
      </c>
      <c r="P7" s="1423" t="str">
        <v>U069</v>
      </c>
      <c r="Q7" s="1423" t="str">
        <v>U008</v>
      </c>
      <c r="R7" s="1423" t="n">
        <v>28</v>
      </c>
      <c r="S7" s="1423" t="n">
        <v>6</v>
      </c>
      <c r="T7" s="1423" t="n">
        <v>112</v>
      </c>
      <c r="U7" s="1423" t="n">
        <v>30</v>
      </c>
      <c r="V7" s="1423" t="n">
        <v>15</v>
      </c>
      <c r="W7" s="1423" t="n">
        <v>32</v>
      </c>
      <c r="X7" s="1423" t="n">
        <v>36</v>
      </c>
      <c r="Y7" s="1423" t="n">
        <v>0</v>
      </c>
      <c r="Z7" s="1423" t="n">
        <v>7</v>
      </c>
      <c r="AA7" s="1423" t="n">
        <v>10</v>
      </c>
      <c r="AB7" s="1423" t="n">
        <f>IF(G7="انجام‌شده",1,IF(G7="نیمه‌انجام",0.5,0))</f>
        <v>0</v>
      </c>
      <c r="AC7" s="1423" t="str">
        <v>خیر</v>
      </c>
      <c r="AD7" s="1423" t="n">
        <v>2</v>
      </c>
      <c r="AE7" s="1423" t="n">
        <f>IF(OR(AG7&lt;&gt;240,AD7&gt;2,AND(AC7="بله",OR(L7&lt;&gt;150,M7&lt;&gt;90))),1,0)</f>
        <v>0</v>
      </c>
      <c r="AF7" s="1423" t="str">
        <f>IF(AE7=0,"معتبر","نیازمند بررسی")</f>
        <v>معتبر</v>
      </c>
      <c r="AG7" s="1423" t="n">
        <v>240</v>
      </c>
      <c r="AH7" s="1423" t="n">
        <v>68</v>
      </c>
      <c r="AI7" s="1423" t="n">
        <v>34</v>
      </c>
      <c r="AJ7" s="1423" t="n">
        <v>17</v>
      </c>
      <c r="AK7" s="1423" t="n">
        <v>150</v>
      </c>
      <c r="AL7" s="1423" t="n">
        <v>90</v>
      </c>
      <c r="AM7" s="1423" t="n">
        <v>15</v>
      </c>
    </row>
    <row r="8" ht="96" customHeight="1">
      <c r="A8" s="648" t="str">
        <v>۱۴۰۵/۰۵/۱۸</v>
      </c>
      <c r="B8" s="378" t="str">
        <v>یکشنبه</v>
      </c>
      <c r="C8" s="367" t="str">
        <v>[۱۵۰ دقیقه | آسیب‌شناسی روانی] مطالعه فصل ۲: اختلال عصبی ـ رشدی، ص ۱۰۴ تا ۱۲۴ (U009)، ۸۷ دقیقه + بازیابیِ بسته‌کتاب همان‌جلسه، ۲۰ دقیقه + بازخورد و اصلاح، ۱۰ دقیقه + مرور D+1/D+3 برای U005، U008، ۵ دقیقه + آزمونک ۷ سؤالی و تحلیل کامل، ۲۸ دقیقه</v>
      </c>
      <c r="D8" s="367" t="str">
        <v>[۹۰ دقیقه | نظریه‌های روان‌درمانی پروچاسکا] مطالعه فصل ۲: درمان‌های روان‌کاوی، ص ۷۶ تا ۸۳ (U070)، ۲۵ دقیقه + بازیابیِ بسته‌کتاب همان‌جلسه، ۱۰ دقیقه + بازخورد و اصلاح، ۵ دقیقه + مرور D+1/D+3 برای U067، U068، U069، ۱۰ دقیقه + آزمونک ۱۰ سؤالی و تحلیل کامل، ۴۰ دقیقه</v>
      </c>
      <c r="E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8" s="678" t="n">
        <v>17</v>
      </c>
      <c r="G8" s="378" t="str">
        <v>انجام‌نشده</v>
      </c>
      <c r="H8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8" s="1422" t="n">
        <v>46243</v>
      </c>
      <c r="J8" s="1423" t="n">
        <v>7</v>
      </c>
      <c r="K8" s="1423" t="n">
        <v>2</v>
      </c>
      <c r="L8" s="1423" t="n">
        <v>150</v>
      </c>
      <c r="M8" s="1423" t="n">
        <v>90</v>
      </c>
      <c r="N8" s="1423" t="str">
        <v>آسیب‌شناسی روانی</v>
      </c>
      <c r="O8" s="1423" t="str">
        <v>نظریه‌های روان‌درمانی پروچاسکا</v>
      </c>
      <c r="P8" s="1423" t="str">
        <v>U009</v>
      </c>
      <c r="Q8" s="1423" t="str">
        <v>U070</v>
      </c>
      <c r="R8" s="1423" t="n">
        <v>21</v>
      </c>
      <c r="S8" s="1423" t="n">
        <v>8</v>
      </c>
      <c r="T8" s="1423" t="n">
        <v>112</v>
      </c>
      <c r="U8" s="1423" t="n">
        <v>30</v>
      </c>
      <c r="V8" s="1423" t="n">
        <v>15</v>
      </c>
      <c r="W8" s="1423" t="n">
        <v>32</v>
      </c>
      <c r="X8" s="1423" t="n">
        <v>36</v>
      </c>
      <c r="Y8" s="1423" t="n">
        <v>0</v>
      </c>
      <c r="Z8" s="1423" t="n">
        <v>7</v>
      </c>
      <c r="AA8" s="1423" t="n">
        <v>10</v>
      </c>
      <c r="AB8" s="1423" t="n">
        <f>IF(G8="انجام‌شده",1,IF(G8="نیمه‌انجام",0.5,0))</f>
        <v>0</v>
      </c>
      <c r="AC8" s="1423" t="str">
        <v>خیر</v>
      </c>
      <c r="AD8" s="1423" t="n">
        <v>2</v>
      </c>
      <c r="AE8" s="1423" t="n">
        <f>IF(OR(AG8&lt;&gt;240,AD8&gt;2,AND(AC8="بله",OR(L8&lt;&gt;150,M8&lt;&gt;90))),1,0)</f>
        <v>0</v>
      </c>
      <c r="AF8" s="1423" t="str">
        <f>IF(AE8=0,"معتبر","نیازمند بررسی")</f>
        <v>معتبر</v>
      </c>
      <c r="AG8" s="1423" t="n">
        <v>240</v>
      </c>
      <c r="AH8" s="1423" t="n">
        <v>68</v>
      </c>
      <c r="AI8" s="1423" t="n">
        <v>29</v>
      </c>
      <c r="AJ8" s="1423" t="n">
        <v>17</v>
      </c>
      <c r="AK8" s="1423" t="n">
        <v>150</v>
      </c>
      <c r="AL8" s="1423" t="n">
        <v>90</v>
      </c>
      <c r="AM8" s="1423" t="n">
        <v>15</v>
      </c>
    </row>
    <row r="9" ht="96" customHeight="1">
      <c r="A9" s="652" t="str">
        <v>۱۴۰۵/۰۵/۱۹</v>
      </c>
      <c r="B9" s="290" t="str">
        <v>دوشنبه</v>
      </c>
      <c r="C9" s="281" t="str">
        <v>[۱۵۰ دقیقه | نظریه‌های روان‌درمانی پروچاسکا] مطالعه فصل ۲: درمان‌های روان‌کاوی، ص ۸۴ تا ۹۰ (U071)؛ فصل ۳: درمان‌های روان‌پویشی، ص ۹۱ تا ۱۱۱ (U072)، ۸۷ دقیقه + بازیابیِ بسته‌کتاب همان‌جلسه، ۲۰ دقیقه + بازخورد و اصلاح، ۱۰ دقیقه + مرور D+1 برای U070، ۵ دقیقه + آزمونک ۷ سؤالی و تحلیل کامل، ۲۸ دقیقه</v>
      </c>
      <c r="D9" s="281" t="str">
        <v>[۹۰ دقیقه | آسیب‌شناسی روانی] مطالعه فصل ۲: اختلال عصبی ـ رشدی، ص ۱۲۵ تا ۱۳۰ (U010)، ۲۵ دقیقه + بازیابیِ بسته‌کتاب همان‌جلسه، ۱۰ دقیقه + بازخورد و اصلاح، ۵ دقیقه + مرور D+1/D+3/D+7 برای U001، U002، U006، U007 و ۱ واحد دیگر، ۱۰ دقیقه + آزمونک ۱۰ سؤالی و تحلیل کامل، ۴۰ دقیقه</v>
      </c>
      <c r="E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9" s="678" t="n">
        <v>17</v>
      </c>
      <c r="G9" s="290" t="str">
        <v>انجام‌نشده</v>
      </c>
      <c r="H9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9" s="1422" t="n">
        <v>46244</v>
      </c>
      <c r="J9" s="1423" t="n">
        <v>8</v>
      </c>
      <c r="K9" s="1423" t="n">
        <v>2</v>
      </c>
      <c r="L9" s="1423" t="n">
        <v>150</v>
      </c>
      <c r="M9" s="1423" t="n">
        <v>90</v>
      </c>
      <c r="N9" s="1423" t="str">
        <v>نظریه‌های روان‌درمانی پروچاسکا</v>
      </c>
      <c r="O9" s="1423" t="str">
        <v>آسیب‌شناسی روانی</v>
      </c>
      <c r="P9" s="1423" t="str">
        <v>U071، U072</v>
      </c>
      <c r="Q9" s="1423" t="str">
        <v>U010</v>
      </c>
      <c r="R9" s="1423" t="n">
        <v>28</v>
      </c>
      <c r="S9" s="1423" t="n">
        <v>6</v>
      </c>
      <c r="T9" s="1423" t="n">
        <v>112</v>
      </c>
      <c r="U9" s="1423" t="n">
        <v>30</v>
      </c>
      <c r="V9" s="1423" t="n">
        <v>15</v>
      </c>
      <c r="W9" s="1423" t="n">
        <v>32</v>
      </c>
      <c r="X9" s="1423" t="n">
        <v>36</v>
      </c>
      <c r="Y9" s="1423" t="n">
        <v>0</v>
      </c>
      <c r="Z9" s="1423" t="n">
        <v>7</v>
      </c>
      <c r="AA9" s="1423" t="n">
        <v>10</v>
      </c>
      <c r="AB9" s="1423" t="n">
        <f>IF(G9="انجام‌شده",1,IF(G9="نیمه‌انجام",0.5,0))</f>
        <v>0</v>
      </c>
      <c r="AC9" s="1423" t="str">
        <v>خیر</v>
      </c>
      <c r="AD9" s="1423" t="n">
        <v>2</v>
      </c>
      <c r="AE9" s="1423" t="n">
        <f>IF(OR(AG9&lt;&gt;240,AD9&gt;2,AND(AC9="بله",OR(L9&lt;&gt;150,M9&lt;&gt;90))),1,0)</f>
        <v>0</v>
      </c>
      <c r="AF9" s="1423" t="str">
        <f>IF(AE9=0,"معتبر","نیازمند بررسی")</f>
        <v>معتبر</v>
      </c>
      <c r="AG9" s="1423" t="n">
        <v>240</v>
      </c>
      <c r="AH9" s="1423" t="n">
        <v>68</v>
      </c>
      <c r="AI9" s="1423" t="n">
        <v>34</v>
      </c>
      <c r="AJ9" s="1423" t="n">
        <v>17</v>
      </c>
      <c r="AK9" s="1423" t="n">
        <v>150</v>
      </c>
      <c r="AL9" s="1423" t="n">
        <v>90</v>
      </c>
      <c r="AM9" s="1423" t="n">
        <v>15</v>
      </c>
    </row>
    <row r="10" ht="96" customHeight="1">
      <c r="A10" s="648" t="str">
        <v>۱۴۰۵/۰۵/۲۰</v>
      </c>
      <c r="B10" s="378" t="str">
        <v>سه‌شنبه</v>
      </c>
      <c r="C10" s="367" t="str">
        <v>[۱۵۰ دقیقه | روان‌شناسی رشد کرین] مطالعه فصل ۲: نظریه رسشی گزل، ص ۵۶ تا ۷۲ (U128)؛ فصل ۳: نظریه‌های کردارشناختی: داروین، لورنز و تینبرگن؛ و بالبی و اینزورث، ص ۷۳ تا ۷۵ (U129)، ۸۷ دقیقه + بازیابیِ بسته‌کتاب همان‌جلسه، ۲۰ دقیقه + بازخورد و اصلاح، ۱۰ دقیقه + مرور D+1 برای U128، U129، ۵ دقیقه + آزمونک ۷ سؤالی و تحلیل کامل، ۲۸ دقیقه</v>
      </c>
      <c r="D10" s="367" t="str">
        <v>[۹۰ دقیقه | آسیب‌شناسی روانی] مطالعه فصل ۲: اختلال عصبی ـ رشدی، ص ۱۳۱ تا ۱۳۲ (U011)؛ فصل ۳: طیف اسکیزوفرنی و سایر اختلالات سایکوتیک، ص ۱۳۳ تا ۱۳۶ (U012)، ۲۵ دقیقه + بازیابیِ بسته‌کتاب همان‌جلسه، ۱۰ دقیقه + بازخورد و اصلاح، ۵ دقیقه + مرور D+1/D+3/D+7 برای U003، U008، U010، ۱۰ دقیقه + آزمونک ۱۰ سؤالی و تحلیل کامل، ۴۰ دقیقه</v>
      </c>
      <c r="E1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0" s="678" t="n">
        <v>17</v>
      </c>
      <c r="G10" s="378" t="str">
        <v>انجام‌نشده</v>
      </c>
      <c r="H10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10" s="1422" t="n">
        <v>46245</v>
      </c>
      <c r="J10" s="1423" t="n">
        <v>9</v>
      </c>
      <c r="K10" s="1423" t="n">
        <v>2</v>
      </c>
      <c r="L10" s="1423" t="n">
        <v>150</v>
      </c>
      <c r="M10" s="1423" t="n">
        <v>90</v>
      </c>
      <c r="N10" s="1423" t="str">
        <v>روان‌شناسی رشد کرین</v>
      </c>
      <c r="O10" s="1423" t="str">
        <v>آسیب‌شناسی روانی</v>
      </c>
      <c r="P10" s="1423" t="str">
        <v>U128، U129</v>
      </c>
      <c r="Q10" s="1423" t="str">
        <v>U011، U012</v>
      </c>
      <c r="R10" s="1423" t="n">
        <v>20</v>
      </c>
      <c r="S10" s="1423" t="n">
        <v>6</v>
      </c>
      <c r="T10" s="1423" t="n">
        <v>112</v>
      </c>
      <c r="U10" s="1423" t="n">
        <v>30</v>
      </c>
      <c r="V10" s="1423" t="n">
        <v>15</v>
      </c>
      <c r="W10" s="1423" t="n">
        <v>32</v>
      </c>
      <c r="X10" s="1423" t="n">
        <v>36</v>
      </c>
      <c r="Y10" s="1423" t="n">
        <v>0</v>
      </c>
      <c r="Z10" s="1423" t="n">
        <v>7</v>
      </c>
      <c r="AA10" s="1423" t="n">
        <v>10</v>
      </c>
      <c r="AB10" s="1423" t="n">
        <f>IF(G10="انجام‌شده",1,IF(G10="نیمه‌انجام",0.5,0))</f>
        <v>0</v>
      </c>
      <c r="AC10" s="1423" t="str">
        <v>خیر</v>
      </c>
      <c r="AD10" s="1423" t="n">
        <v>2</v>
      </c>
      <c r="AE10" s="1423" t="n">
        <f>IF(OR(AG10&lt;&gt;240,AD10&gt;2,AND(AC10="بله",OR(L10&lt;&gt;150,M10&lt;&gt;90))),1,0)</f>
        <v>0</v>
      </c>
      <c r="AF10" s="1423" t="str">
        <f>IF(AE10=0,"معتبر","نیازمند بررسی")</f>
        <v>معتبر</v>
      </c>
      <c r="AG10" s="1423" t="n">
        <v>240</v>
      </c>
      <c r="AH10" s="1423" t="n">
        <v>68</v>
      </c>
      <c r="AI10" s="1423" t="n">
        <v>26</v>
      </c>
      <c r="AJ10" s="1423" t="n">
        <v>17</v>
      </c>
      <c r="AK10" s="1423" t="n">
        <v>150</v>
      </c>
      <c r="AL10" s="1423" t="n">
        <v>90</v>
      </c>
      <c r="AM10" s="1423" t="n">
        <v>15</v>
      </c>
    </row>
    <row r="11" ht="96" customHeight="1">
      <c r="A11" s="652" t="str">
        <v>۱۴۰۵/۰۵/۲۱</v>
      </c>
      <c r="B11" s="290" t="str">
        <v>چهارشنبه</v>
      </c>
      <c r="C11" s="281" t="str">
        <v>[۱۵۰ دقیقه | نظریه‌های روان‌درمانی پروچاسکا] مطالعه فصل ۳: درمان‌های روان‌پویشی، ص ۱۱۲ تا ۱۳۹ (U073)، ۸۷ دقیقه + بازیابیِ بسته‌کتاب همان‌جلسه، ۲۰ دقیقه + بازخورد و اصلاح، ۱۰ دقیقه + مرور D+1/D+3/D+7 برای U065، U066 و ۴ واحد دیگر، ۵ دقیقه + آزمونک ۷ سؤالی و تحلیل کامل، ۲۸ دقیقه</v>
      </c>
      <c r="D11" s="281" t="str">
        <v>[۹۰ دقیقه | آسیب‌شناسی روانی] مطالعه فصل ۳: طیف اسکیزوفرنی و سایر اختلالات سایکوتیک، ص ۱۳۷ تا ۱۴۲ (U013)، ۲۵ دقیقه + بازیابیِ بسته‌کتاب همان‌جلسه، ۱۰ دقیقه + بازخورد و اصلاح، ۵ دقیقه + مرور D+1/D+3/D+7 برای U004، U009، U011، U012، ۱۰ دقیقه + آزمونک ۱۰ سؤالی و تحلیل کامل، ۴۰ دقیقه</v>
      </c>
      <c r="E1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1" s="678" t="n">
        <v>17</v>
      </c>
      <c r="G11" s="290" t="str">
        <v>انجام‌نشده</v>
      </c>
      <c r="H11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11" s="1422" t="n">
        <v>46246</v>
      </c>
      <c r="J11" s="1423" t="n">
        <v>10</v>
      </c>
      <c r="K11" s="1423" t="n">
        <v>2</v>
      </c>
      <c r="L11" s="1423" t="n">
        <v>150</v>
      </c>
      <c r="M11" s="1423" t="n">
        <v>90</v>
      </c>
      <c r="N11" s="1423" t="str">
        <v>نظریه‌های روان‌درمانی پروچاسکا</v>
      </c>
      <c r="O11" s="1423" t="str">
        <v>آسیب‌شناسی روانی</v>
      </c>
      <c r="P11" s="1423" t="str">
        <v>U073</v>
      </c>
      <c r="Q11" s="1423" t="str">
        <v>U013</v>
      </c>
      <c r="R11" s="1423" t="n">
        <v>28</v>
      </c>
      <c r="S11" s="1423" t="n">
        <v>6</v>
      </c>
      <c r="T11" s="1423" t="n">
        <v>112</v>
      </c>
      <c r="U11" s="1423" t="n">
        <v>30</v>
      </c>
      <c r="V11" s="1423" t="n">
        <v>15</v>
      </c>
      <c r="W11" s="1423" t="n">
        <v>32</v>
      </c>
      <c r="X11" s="1423" t="n">
        <v>36</v>
      </c>
      <c r="Y11" s="1423" t="n">
        <v>0</v>
      </c>
      <c r="Z11" s="1423" t="n">
        <v>7</v>
      </c>
      <c r="AA11" s="1423" t="n">
        <v>10</v>
      </c>
      <c r="AB11" s="1423" t="n">
        <f>IF(G11="انجام‌شده",1,IF(G11="نیمه‌انجام",0.5,0))</f>
        <v>0</v>
      </c>
      <c r="AC11" s="1423" t="str">
        <v>خیر</v>
      </c>
      <c r="AD11" s="1423" t="n">
        <v>2</v>
      </c>
      <c r="AE11" s="1423" t="n">
        <f>IF(OR(AG11&lt;&gt;240,AD11&gt;2,AND(AC11="بله",OR(L11&lt;&gt;150,M11&lt;&gt;90))),1,0)</f>
        <v>0</v>
      </c>
      <c r="AF11" s="1423" t="str">
        <f>IF(AE11=0,"معتبر","نیازمند بررسی")</f>
        <v>معتبر</v>
      </c>
      <c r="AG11" s="1423" t="n">
        <v>240</v>
      </c>
      <c r="AH11" s="1423" t="n">
        <v>68</v>
      </c>
      <c r="AI11" s="1423" t="n">
        <v>34</v>
      </c>
      <c r="AJ11" s="1423" t="n">
        <v>17</v>
      </c>
      <c r="AK11" s="1423" t="n">
        <v>150</v>
      </c>
      <c r="AL11" s="1423" t="n">
        <v>90</v>
      </c>
      <c r="AM11" s="1423" t="n">
        <v>15</v>
      </c>
    </row>
    <row r="12" ht="96" customHeight="1">
      <c r="A12" s="648" t="str">
        <v>۱۴۰۵/۰۵/۲۲</v>
      </c>
      <c r="B12" s="378" t="str">
        <v>پنجشنبه</v>
      </c>
      <c r="C12" s="367" t="str">
        <v>[۱۵۰ دقیقه | آسیب‌شناسی روانی] مطالعه فصل ۳: طیف اسکیزوفرنی و سایر اختلالات سایکوتیک، ص ۱۴۳ تا ۱۶۳ (U014)، ۸۷ دقیقه + بازیابیِ بسته‌کتاب همان‌جلسه، ۲۰ دقیقه + بازخورد و اصلاح، ۱۰ دقیقه + مرور D+1/D+3/D+7 برای U005، U010 و ۱ واحد دیگر، ۵ دقیقه + آزمونک ۷ سؤالی و تحلیل کامل، ۲۸ دقیقه</v>
      </c>
      <c r="D12" s="367" t="str">
        <v>[۹۰ دقیقه | نظریه‌های روان‌درمانی پروچاسکا] مطالعه فصل ۳: درمان‌های روان‌پویشی، ص ۱۴۰ تا ۱۴۶ (U074)؛ فصل ۴: درمان‌های وجودی، ص ۱۴۷ تا ۱۴۷ (U075)، ۲۵ دقیقه + بازیابیِ بسته‌کتاب همان‌جلسه، ۱۰ دقیقه + بازخورد و اصلاح، ۵ دقیقه + مرور D+1/D+3/D+7 برای U067، U068، U071، U072 و ۱ واحد دیگر، ۱۰ دقیقه + آزمونک ۱۰ سؤالی و تحلیل کامل، ۴۰ دقیقه</v>
      </c>
      <c r="E1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2" s="678" t="n">
        <v>17</v>
      </c>
      <c r="G12" s="378" t="str">
        <v>انجام‌نشده</v>
      </c>
      <c r="H12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12" s="1422" t="n">
        <v>46247</v>
      </c>
      <c r="J12" s="1423" t="n">
        <v>11</v>
      </c>
      <c r="K12" s="1423" t="n">
        <v>2</v>
      </c>
      <c r="L12" s="1423" t="n">
        <v>150</v>
      </c>
      <c r="M12" s="1423" t="n">
        <v>90</v>
      </c>
      <c r="N12" s="1423" t="str">
        <v>آسیب‌شناسی روانی</v>
      </c>
      <c r="O12" s="1423" t="str">
        <v>نظریه‌های روان‌درمانی پروچاسکا</v>
      </c>
      <c r="P12" s="1423" t="str">
        <v>U014</v>
      </c>
      <c r="Q12" s="1423" t="str">
        <v>U074، U075</v>
      </c>
      <c r="R12" s="1423" t="n">
        <v>21</v>
      </c>
      <c r="S12" s="1423" t="n">
        <v>8</v>
      </c>
      <c r="T12" s="1423" t="n">
        <v>112</v>
      </c>
      <c r="U12" s="1423" t="n">
        <v>30</v>
      </c>
      <c r="V12" s="1423" t="n">
        <v>15</v>
      </c>
      <c r="W12" s="1423" t="n">
        <v>32</v>
      </c>
      <c r="X12" s="1423" t="n">
        <v>36</v>
      </c>
      <c r="Y12" s="1423" t="n">
        <v>0</v>
      </c>
      <c r="Z12" s="1423" t="n">
        <v>7</v>
      </c>
      <c r="AA12" s="1423" t="n">
        <v>10</v>
      </c>
      <c r="AB12" s="1423" t="n">
        <f>IF(G12="انجام‌شده",1,IF(G12="نیمه‌انجام",0.5,0))</f>
        <v>0</v>
      </c>
      <c r="AC12" s="1423" t="str">
        <v>خیر</v>
      </c>
      <c r="AD12" s="1423" t="n">
        <v>2</v>
      </c>
      <c r="AE12" s="1423" t="n">
        <f>IF(OR(AG12&lt;&gt;240,AD12&gt;2,AND(AC12="بله",OR(L12&lt;&gt;150,M12&lt;&gt;90))),1,0)</f>
        <v>0</v>
      </c>
      <c r="AF12" s="1423" t="str">
        <f>IF(AE12=0,"معتبر","نیازمند بررسی")</f>
        <v>معتبر</v>
      </c>
      <c r="AG12" s="1423" t="n">
        <v>240</v>
      </c>
      <c r="AH12" s="1423" t="n">
        <v>68</v>
      </c>
      <c r="AI12" s="1423" t="n">
        <v>29</v>
      </c>
      <c r="AJ12" s="1423" t="n">
        <v>17</v>
      </c>
      <c r="AK12" s="1423" t="n">
        <v>150</v>
      </c>
      <c r="AL12" s="1423" t="n">
        <v>90</v>
      </c>
      <c r="AM12" s="1423" t="n">
        <v>15</v>
      </c>
    </row>
    <row r="13" ht="96" customHeight="1">
      <c r="A13" s="652" t="str">
        <v>۱۴۰۵/۰۵/۲۳</v>
      </c>
      <c r="B13" s="290" t="str">
        <v>جمعه</v>
      </c>
      <c r="C13" s="281" t="str">
        <v>[۱۵۰ دقیقه | نظریه‌های روان‌درمانی پروچاسکا] مطالعه فصل ۴: درمان‌های وجودی، ص ۱۴۸ تا ۱۷۵ (U076)، ۸۷ دقیقه + بازیابیِ بسته‌کتاب همان‌جلسه، ۲۰ دقیقه + بازخورد و اصلاح، ۱۰ دقیقه + مرور D+1 برای U074، U075، ۵ دقیقه + آزمونک ۷ سؤالی و تحلیل کامل، ۲۸ دقیقه</v>
      </c>
      <c r="D13" s="281" t="str">
        <v>ایستگاه جبرانی و تثبیت — [۹۰ دقیقه | نظریه‌های روان‌درمانی پروچاسکا] اولویت: بالاترین تکلیف ناتمام هفته؛ جایگزین ازپیش‌تعریف‌شده: مرور D+1 برای U074، U075 و اصلاح دفتر خطا، ۵۰ دقیقه + آزمون هدفمند ۱۰ سؤالی و تحلیل کامل، ۴۰ دقیقه</v>
      </c>
      <c r="E13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13" s="678" t="n">
        <v>17</v>
      </c>
      <c r="G13" s="290" t="str">
        <v>انجام‌نشده</v>
      </c>
      <c r="H13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13" s="1422" t="n">
        <v>46248</v>
      </c>
      <c r="J13" s="1423" t="n">
        <v>12</v>
      </c>
      <c r="K13" s="1423" t="n">
        <v>2</v>
      </c>
      <c r="L13" s="1423" t="n">
        <v>150</v>
      </c>
      <c r="M13" s="1423" t="n">
        <v>90</v>
      </c>
      <c r="N13" s="1423" t="str">
        <v>نظریه‌های روان‌درمانی پروچاسکا</v>
      </c>
      <c r="O13" s="1423" t="str">
        <v>نظریه‌های روان‌درمانی پروچاسکا</v>
      </c>
      <c r="P13" s="1423" t="str">
        <v>U076</v>
      </c>
      <c r="Q13" s="1423" t="str">
        <v>ایستگاه جبرانی</v>
      </c>
      <c r="R13" s="1423" t="n">
        <v>28</v>
      </c>
      <c r="S13" s="1423" t="n">
        <v>0</v>
      </c>
      <c r="T13" s="1423" t="n">
        <v>87</v>
      </c>
      <c r="U13" s="1423" t="n">
        <v>20</v>
      </c>
      <c r="V13" s="1423" t="n">
        <v>55</v>
      </c>
      <c r="W13" s="1423" t="n">
        <v>32</v>
      </c>
      <c r="X13" s="1423" t="n">
        <v>36</v>
      </c>
      <c r="Y13" s="1423" t="n">
        <v>90</v>
      </c>
      <c r="Z13" s="1423" t="n">
        <v>7</v>
      </c>
      <c r="AA13" s="1423" t="n">
        <v>10</v>
      </c>
      <c r="AB13" s="1423" t="n">
        <f>IF(G13="انجام‌شده",1,IF(G13="نیمه‌انجام",0.5,0))</f>
        <v>0</v>
      </c>
      <c r="AC13" s="1423" t="str">
        <v>بله</v>
      </c>
      <c r="AD13" s="1423" t="n">
        <v>1</v>
      </c>
      <c r="AE13" s="1423" t="n">
        <f>IF(OR(AG13&lt;&gt;240,AD13&gt;2,AND(AC13="بله",OR(L13&lt;&gt;150,M13&lt;&gt;90))),1,0)</f>
        <v>0</v>
      </c>
      <c r="AF13" s="1423" t="str">
        <f>IF(AE13=0,"معتبر","نیازمند بررسی")</f>
        <v>معتبر</v>
      </c>
      <c r="AG13" s="1423" t="n">
        <v>240</v>
      </c>
      <c r="AH13" s="1423" t="n">
        <v>68</v>
      </c>
      <c r="AI13" s="1423" t="n">
        <v>28</v>
      </c>
      <c r="AJ13" s="1423" t="n">
        <v>17</v>
      </c>
      <c r="AK13" s="1423" t="n">
        <v>150</v>
      </c>
      <c r="AL13" s="1423" t="n">
        <v>90</v>
      </c>
      <c r="AM13" s="1423" t="n">
        <v>10</v>
      </c>
    </row>
    <row r="14" ht="96" customHeight="1">
      <c r="A14" s="648" t="str">
        <v>۱۴۰۵/۰۵/۲۴</v>
      </c>
      <c r="B14" s="378" t="str">
        <v>شنبه</v>
      </c>
      <c r="C14" s="367" t="str">
        <v>[۱۵۰ دقیقه | آسیب‌شناسی روانی] مطالعه فصل ۳: طیف اسکیزوفرنی و سایر اختلالات سایکوتیک، ص ۱۶۴ تا ۱۸۴ (U015)، ۸۷ دقیقه + بازیابیِ بسته‌کتاب همان‌جلسه، ۲۰ دقیقه + بازخورد و اصلاح، ۱۰ دقیقه + مرور D+1/D+3/D+7 برای U006، U007 و ۵ واحد دیگر، ۵ دقیقه + آزمونک ۷ سؤالی و تحلیل کامل، ۲۸ دقیقه</v>
      </c>
      <c r="D14" s="367" t="str">
        <v>[۹۰ دقیقه | روان‌شناسی رشد کرین] مطالعه فصل ۳: نظریه‌های کردارشناختی: داروین، لورنز و تینبرگن؛ و بالبی و اینزورث، ص ۷۶ تا ۸۱ (U130)، ۲۵ دقیقه + بازیابیِ بسته‌کتاب همان‌جلسه، ۱۰ دقیقه + بازخورد و اصلاح، ۵ دقیقه + مرور D+3 برای U128، U129، ۱۰ دقیقه + آزمونک ۱۰ سؤالی و تحلیل کامل، ۴۰ دقیقه</v>
      </c>
      <c r="E1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4" s="678" t="n">
        <v>17</v>
      </c>
      <c r="G14" s="378" t="str">
        <v>انجام‌نشده</v>
      </c>
      <c r="H1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14" s="1422" t="n">
        <v>46249</v>
      </c>
      <c r="J14" s="1423" t="n">
        <v>13</v>
      </c>
      <c r="K14" s="1423" t="n">
        <v>3</v>
      </c>
      <c r="L14" s="1423" t="n">
        <v>150</v>
      </c>
      <c r="M14" s="1423" t="n">
        <v>90</v>
      </c>
      <c r="N14" s="1423" t="str">
        <v>آسیب‌شناسی روانی</v>
      </c>
      <c r="O14" s="1423" t="str">
        <v>روان‌شناسی رشد کرین</v>
      </c>
      <c r="P14" s="1423" t="str">
        <v>U015</v>
      </c>
      <c r="Q14" s="1423" t="str">
        <v>U130</v>
      </c>
      <c r="R14" s="1423" t="n">
        <v>21</v>
      </c>
      <c r="S14" s="1423" t="n">
        <v>6</v>
      </c>
      <c r="T14" s="1423" t="n">
        <v>112</v>
      </c>
      <c r="U14" s="1423" t="n">
        <v>30</v>
      </c>
      <c r="V14" s="1423" t="n">
        <v>15</v>
      </c>
      <c r="W14" s="1423" t="n">
        <v>32</v>
      </c>
      <c r="X14" s="1423" t="n">
        <v>36</v>
      </c>
      <c r="Y14" s="1423" t="n">
        <v>0</v>
      </c>
      <c r="Z14" s="1423" t="n">
        <v>7</v>
      </c>
      <c r="AA14" s="1423" t="n">
        <v>10</v>
      </c>
      <c r="AB14" s="1423" t="n">
        <f>IF(G14="انجام‌شده",1,IF(G14="نیمه‌انجام",0.5,0))</f>
        <v>0</v>
      </c>
      <c r="AC14" s="1423" t="str">
        <v>خیر</v>
      </c>
      <c r="AD14" s="1423" t="n">
        <v>2</v>
      </c>
      <c r="AE14" s="1423" t="n">
        <f>IF(OR(AG14&lt;&gt;240,AD14&gt;2,AND(AC14="بله",OR(L14&lt;&gt;150,M14&lt;&gt;90))),1,0)</f>
        <v>0</v>
      </c>
      <c r="AF14" s="1423" t="str">
        <f>IF(AE14=0,"معتبر","نیازمند بررسی")</f>
        <v>معتبر</v>
      </c>
      <c r="AG14" s="1423" t="n">
        <v>240</v>
      </c>
      <c r="AH14" s="1423" t="n">
        <v>68</v>
      </c>
      <c r="AI14" s="1423" t="n">
        <v>27</v>
      </c>
      <c r="AJ14" s="1423" t="n">
        <v>17</v>
      </c>
      <c r="AK14" s="1423" t="n">
        <v>150</v>
      </c>
      <c r="AL14" s="1423" t="n">
        <v>90</v>
      </c>
      <c r="AM14" s="1423" t="n">
        <v>15</v>
      </c>
    </row>
    <row r="15" ht="96" customHeight="1">
      <c r="A15" s="652" t="str">
        <v>۱۴۰۵/۰۵/۲۵</v>
      </c>
      <c r="B15" s="290" t="str">
        <v>یکشنبه</v>
      </c>
      <c r="C15" s="281" t="str">
        <v>[۱۵۰ دقیقه | نظریه‌های روان‌درمانی پروچاسکا] مطالعه فصل ۴: درمان‌های وجودی، ص ۱۷۶ تا ۲۰۰ (U077)؛ فصل ۵: درمان‌های فردمدار، ص ۲۰۱ تا ۲۰۳ (U078)، ۸۷ دقیقه + بازیابیِ بسته‌کتاب همان‌جلسه، ۲۰ دقیقه + بازخورد و اصلاح، ۱۰ دقیقه + مرور D+1/D+3/D+7 برای U069، U070 و ۴ واحد دیگر، ۵ دقیقه + آزمونک ۷ سؤالی و تحلیل کامل، ۲۸ دقیقه</v>
      </c>
      <c r="D15" s="281" t="str">
        <v>[۹۰ دقیقه | روان‌شناسی رشد کرین] مطالعه فصل ۳: نظریه‌های کردارشناختی: داروین، لورنز و تینبرگن؛ و بالبی و اینزورث، ص ۸۲ تا ۸۷ (U131)، ۲۵ دقیقه + بازیابیِ بسته‌کتاب همان‌جلسه، ۱۰ دقیقه + بازخورد و اصلاح، ۵ دقیقه + مرور D+1 برای U130، ۱۰ دقیقه + آزمونک ۱۰ سؤالی و تحلیل کامل، ۴۰ دقیقه</v>
      </c>
      <c r="E1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5" s="678" t="n">
        <v>17</v>
      </c>
      <c r="G15" s="290" t="str">
        <v>انجام‌نشده</v>
      </c>
      <c r="H15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15" s="1422" t="n">
        <v>46250</v>
      </c>
      <c r="J15" s="1423" t="n">
        <v>14</v>
      </c>
      <c r="K15" s="1423" t="n">
        <v>3</v>
      </c>
      <c r="L15" s="1423" t="n">
        <v>150</v>
      </c>
      <c r="M15" s="1423" t="n">
        <v>90</v>
      </c>
      <c r="N15" s="1423" t="str">
        <v>نظریه‌های روان‌درمانی پروچاسکا</v>
      </c>
      <c r="O15" s="1423" t="str">
        <v>روان‌شناسی رشد کرین</v>
      </c>
      <c r="P15" s="1423" t="str">
        <v>U077، U078</v>
      </c>
      <c r="Q15" s="1423" t="str">
        <v>U131</v>
      </c>
      <c r="R15" s="1423" t="n">
        <v>28</v>
      </c>
      <c r="S15" s="1423" t="n">
        <v>6</v>
      </c>
      <c r="T15" s="1423" t="n">
        <v>112</v>
      </c>
      <c r="U15" s="1423" t="n">
        <v>30</v>
      </c>
      <c r="V15" s="1423" t="n">
        <v>15</v>
      </c>
      <c r="W15" s="1423" t="n">
        <v>32</v>
      </c>
      <c r="X15" s="1423" t="n">
        <v>36</v>
      </c>
      <c r="Y15" s="1423" t="n">
        <v>0</v>
      </c>
      <c r="Z15" s="1423" t="n">
        <v>7</v>
      </c>
      <c r="AA15" s="1423" t="n">
        <v>10</v>
      </c>
      <c r="AB15" s="1423" t="n">
        <f>IF(G15="انجام‌شده",1,IF(G15="نیمه‌انجام",0.5,0))</f>
        <v>0</v>
      </c>
      <c r="AC15" s="1423" t="str">
        <v>خیر</v>
      </c>
      <c r="AD15" s="1423" t="n">
        <v>2</v>
      </c>
      <c r="AE15" s="1423" t="n">
        <f>IF(OR(AG15&lt;&gt;240,AD15&gt;2,AND(AC15="بله",OR(L15&lt;&gt;150,M15&lt;&gt;90))),1,0)</f>
        <v>0</v>
      </c>
      <c r="AF15" s="1423" t="str">
        <f>IF(AE15=0,"معتبر","نیازمند بررسی")</f>
        <v>معتبر</v>
      </c>
      <c r="AG15" s="1423" t="n">
        <v>240</v>
      </c>
      <c r="AH15" s="1423" t="n">
        <v>68</v>
      </c>
      <c r="AI15" s="1423" t="n">
        <v>34</v>
      </c>
      <c r="AJ15" s="1423" t="n">
        <v>17</v>
      </c>
      <c r="AK15" s="1423" t="n">
        <v>150</v>
      </c>
      <c r="AL15" s="1423" t="n">
        <v>90</v>
      </c>
      <c r="AM15" s="1423" t="n">
        <v>15</v>
      </c>
    </row>
    <row r="16" ht="96" customHeight="1">
      <c r="A16" s="648" t="str">
        <v>۱۴۰۵/۰۵/۲۶</v>
      </c>
      <c r="B16" s="378" t="str">
        <v>دوشنبه</v>
      </c>
      <c r="C16" s="367" t="str">
        <v>[۱۵۰ دقیقه | آسیب‌شناسی روانی] مطالعه فصل ۳: طیف اسکیزوفرنی و سایر اختلالات سایکوتیک، ص ۱۸۵ تا ۲۰۵ (U016)، ۸۷ دقیقه + بازیابیِ بسته‌کتاب همان‌جلسه، ۲۰ دقیقه + بازخورد و اصلاح، ۱۰ دقیقه + مرور D+1/D+3/D+7/D+14 برای U001، U002 و ۴ واحد دیگر، ۵ دقیقه + آزمونک ۷ سؤالی و تحلیل کامل، ۲۸ دقیقه</v>
      </c>
      <c r="D16" s="367" t="str">
        <v>[۹۰ دقیقه | روان‌شناسی رشد کرین] مطالعه فصل ۳: نظریه‌های کردارشناختی: داروین، لورنز و تینبرگن؛ و بالبی و اینزورث، ص ۸۸ تا ۹۳ (U132)، ۲۵ دقیقه + بازیابیِ بسته‌کتاب همان‌جلسه، ۱۰ دقیقه + بازخورد و اصلاح، ۵ دقیقه + مرور D+1 برای U131، ۱۰ دقیقه + آزمونک ۱۰ سؤالی و تحلیل کامل، ۴۰ دقیقه</v>
      </c>
      <c r="E1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6" s="678" t="n">
        <v>17</v>
      </c>
      <c r="G16" s="378" t="str">
        <v>انجام‌نشده</v>
      </c>
      <c r="H16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16" s="1422" t="n">
        <v>46251</v>
      </c>
      <c r="J16" s="1423" t="n">
        <v>15</v>
      </c>
      <c r="K16" s="1423" t="n">
        <v>3</v>
      </c>
      <c r="L16" s="1423" t="n">
        <v>150</v>
      </c>
      <c r="M16" s="1423" t="n">
        <v>90</v>
      </c>
      <c r="N16" s="1423" t="str">
        <v>آسیب‌شناسی روانی</v>
      </c>
      <c r="O16" s="1423" t="str">
        <v>روان‌شناسی رشد کرین</v>
      </c>
      <c r="P16" s="1423" t="str">
        <v>U016</v>
      </c>
      <c r="Q16" s="1423" t="str">
        <v>U132</v>
      </c>
      <c r="R16" s="1423" t="n">
        <v>21</v>
      </c>
      <c r="S16" s="1423" t="n">
        <v>6</v>
      </c>
      <c r="T16" s="1423" t="n">
        <v>112</v>
      </c>
      <c r="U16" s="1423" t="n">
        <v>30</v>
      </c>
      <c r="V16" s="1423" t="n">
        <v>15</v>
      </c>
      <c r="W16" s="1423" t="n">
        <v>32</v>
      </c>
      <c r="X16" s="1423" t="n">
        <v>36</v>
      </c>
      <c r="Y16" s="1423" t="n">
        <v>0</v>
      </c>
      <c r="Z16" s="1423" t="n">
        <v>7</v>
      </c>
      <c r="AA16" s="1423" t="n">
        <v>10</v>
      </c>
      <c r="AB16" s="1423" t="n">
        <f>IF(G16="انجام‌شده",1,IF(G16="نیمه‌انجام",0.5,0))</f>
        <v>0</v>
      </c>
      <c r="AC16" s="1423" t="str">
        <v>خیر</v>
      </c>
      <c r="AD16" s="1423" t="n">
        <v>2</v>
      </c>
      <c r="AE16" s="1423" t="n">
        <f>IF(OR(AG16&lt;&gt;240,AD16&gt;2,AND(AC16="بله",OR(L16&lt;&gt;150,M16&lt;&gt;90))),1,0)</f>
        <v>0</v>
      </c>
      <c r="AF16" s="1423" t="str">
        <f>IF(AE16=0,"معتبر","نیازمند بررسی")</f>
        <v>معتبر</v>
      </c>
      <c r="AG16" s="1423" t="n">
        <v>240</v>
      </c>
      <c r="AH16" s="1423" t="n">
        <v>68</v>
      </c>
      <c r="AI16" s="1423" t="n">
        <v>27</v>
      </c>
      <c r="AJ16" s="1423" t="n">
        <v>17</v>
      </c>
      <c r="AK16" s="1423" t="n">
        <v>150</v>
      </c>
      <c r="AL16" s="1423" t="n">
        <v>90</v>
      </c>
      <c r="AM16" s="1423" t="n">
        <v>15</v>
      </c>
    </row>
    <row r="17" ht="96" customHeight="1">
      <c r="A17" s="652" t="str">
        <v>۱۴۰۵/۰۵/۲۷</v>
      </c>
      <c r="B17" s="290" t="str">
        <v>سه‌شنبه</v>
      </c>
      <c r="C17" s="281" t="str">
        <v>[۱۵۰ دقیقه | روان‌شناسی رشد کرین] مطالعه فصل ۳: نظریه‌های کردارشناختی: داروین، لورنز و تینبرگن؛ و بالبی و اینزورث، ص ۹۴ تا ۱۱۳ (U133)، ۸۷ دقیقه + بازیابیِ بسته‌کتاب همان‌جلسه، ۲۰ دقیقه + بازخورد و اصلاح، ۱۰ دقیقه + مرور D+1/D+3/D+7 برای U128، U129 و ۲ واحد دیگر، ۵ دقیقه + آزمونک ۷ سؤالی و تحلیل کامل، ۲۸ دقیقه</v>
      </c>
      <c r="D17" s="281" t="str">
        <v>[۹۰ دقیقه | نظریه‌های روان‌درمانی پروچاسکا] مطالعه فصل ۵: درمان‌های فردمدار، ص ۲۰۴ تا ۲۱۱ (U079)، ۲۵ دقیقه + بازیابیِ بسته‌کتاب همان‌جلسه، ۱۰ دقیقه + بازخورد و اصلاح، ۵ دقیقه + مرور D+1/D+3/D+7/D+14 برای U065، U071، U072، U076 و ۲ واحد دیگر، ۱۰ دقیقه + آزمونک ۱۰ سؤالی و تحلیل کامل، ۴۰ دقیقه</v>
      </c>
      <c r="E1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7" s="678" t="n">
        <v>17</v>
      </c>
      <c r="G17" s="290" t="str">
        <v>انجام‌نشده</v>
      </c>
      <c r="H17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17" s="1422" t="n">
        <v>46252</v>
      </c>
      <c r="J17" s="1423" t="n">
        <v>16</v>
      </c>
      <c r="K17" s="1423" t="n">
        <v>3</v>
      </c>
      <c r="L17" s="1423" t="n">
        <v>150</v>
      </c>
      <c r="M17" s="1423" t="n">
        <v>90</v>
      </c>
      <c r="N17" s="1423" t="str">
        <v>روان‌شناسی رشد کرین</v>
      </c>
      <c r="O17" s="1423" t="str">
        <v>نظریه‌های روان‌درمانی پروچاسکا</v>
      </c>
      <c r="P17" s="1423" t="str">
        <v>U133</v>
      </c>
      <c r="Q17" s="1423" t="str">
        <v>U079</v>
      </c>
      <c r="R17" s="1423" t="n">
        <v>20</v>
      </c>
      <c r="S17" s="1423" t="n">
        <v>8</v>
      </c>
      <c r="T17" s="1423" t="n">
        <v>112</v>
      </c>
      <c r="U17" s="1423" t="n">
        <v>30</v>
      </c>
      <c r="V17" s="1423" t="n">
        <v>15</v>
      </c>
      <c r="W17" s="1423" t="n">
        <v>32</v>
      </c>
      <c r="X17" s="1423" t="n">
        <v>36</v>
      </c>
      <c r="Y17" s="1423" t="n">
        <v>0</v>
      </c>
      <c r="Z17" s="1423" t="n">
        <v>7</v>
      </c>
      <c r="AA17" s="1423" t="n">
        <v>10</v>
      </c>
      <c r="AB17" s="1423" t="n">
        <f>IF(G17="انجام‌شده",1,IF(G17="نیمه‌انجام",0.5,0))</f>
        <v>0</v>
      </c>
      <c r="AC17" s="1423" t="str">
        <v>خیر</v>
      </c>
      <c r="AD17" s="1423" t="n">
        <v>2</v>
      </c>
      <c r="AE17" s="1423" t="n">
        <f>IF(OR(AG17&lt;&gt;240,AD17&gt;2,AND(AC17="بله",OR(L17&lt;&gt;150,M17&lt;&gt;90))),1,0)</f>
        <v>0</v>
      </c>
      <c r="AF17" s="1423" t="str">
        <f>IF(AE17=0,"معتبر","نیازمند بررسی")</f>
        <v>معتبر</v>
      </c>
      <c r="AG17" s="1423" t="n">
        <v>240</v>
      </c>
      <c r="AH17" s="1423" t="n">
        <v>68</v>
      </c>
      <c r="AI17" s="1423" t="n">
        <v>28</v>
      </c>
      <c r="AJ17" s="1423" t="n">
        <v>17</v>
      </c>
      <c r="AK17" s="1423" t="n">
        <v>150</v>
      </c>
      <c r="AL17" s="1423" t="n">
        <v>90</v>
      </c>
      <c r="AM17" s="1423" t="n">
        <v>15</v>
      </c>
    </row>
    <row r="18" ht="96" customHeight="1">
      <c r="A18" s="648" t="str">
        <v>۱۴۰۵/۰۵/۲۸</v>
      </c>
      <c r="B18" s="378" t="str">
        <v>چهارشنبه</v>
      </c>
      <c r="C18" s="367" t="str">
        <v>[۱۵۰ دقیقه | آسیب‌شناسی روانی] مطالعه فصل ۳: طیف اسکیزوفرنی و سایر اختلالات سایکوتیک، ص ۲۰۶ تا ۲۲۶ (U017)، ۸۷ دقیقه + بازیابیِ بسته‌کتاب همان‌جلسه، ۲۰ دقیقه + بازخورد و اصلاح، ۱۰ دقیقه + مرور D+1/D+3/D+7/D+14 برای U003، U004 و ۹ واحد دیگر، ۵ دقیقه + آزمونک ۷ سؤالی و تحلیل کامل، ۲۸ دقیقه</v>
      </c>
      <c r="D18" s="367" t="str">
        <v>[۹۰ دقیقه | نظریه‌های روان‌درمانی پروچاسکا] مطالعه فصل ۵: درمان‌های فردمدار، ص ۲۱۲ تا ۲۱۹ (U080)، ۲۵ دقیقه + بازیابیِ بسته‌کتاب همان‌جلسه، ۱۰ دقیقه + بازخورد و اصلاح، ۵ دقیقه + مرور D+1/D+3/D+7/D+14 برای U066، U073، U077، U078 و ۱ واحد دیگر، ۱۰ دقیقه + آزمونک ۱۰ سؤالی و تحلیل کامل، ۴۰ دقیقه</v>
      </c>
      <c r="E1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8" s="678" t="n">
        <v>17</v>
      </c>
      <c r="G18" s="378" t="str">
        <v>انجام‌نشده</v>
      </c>
      <c r="H18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18" s="1422" t="n">
        <v>46253</v>
      </c>
      <c r="J18" s="1423" t="n">
        <v>17</v>
      </c>
      <c r="K18" s="1423" t="n">
        <v>3</v>
      </c>
      <c r="L18" s="1423" t="n">
        <v>150</v>
      </c>
      <c r="M18" s="1423" t="n">
        <v>90</v>
      </c>
      <c r="N18" s="1423" t="str">
        <v>آسیب‌شناسی روانی</v>
      </c>
      <c r="O18" s="1423" t="str">
        <v>نظریه‌های روان‌درمانی پروچاسکا</v>
      </c>
      <c r="P18" s="1423" t="str">
        <v>U017</v>
      </c>
      <c r="Q18" s="1423" t="str">
        <v>U080</v>
      </c>
      <c r="R18" s="1423" t="n">
        <v>21</v>
      </c>
      <c r="S18" s="1423" t="n">
        <v>8</v>
      </c>
      <c r="T18" s="1423" t="n">
        <v>112</v>
      </c>
      <c r="U18" s="1423" t="n">
        <v>30</v>
      </c>
      <c r="V18" s="1423" t="n">
        <v>15</v>
      </c>
      <c r="W18" s="1423" t="n">
        <v>32</v>
      </c>
      <c r="X18" s="1423" t="n">
        <v>36</v>
      </c>
      <c r="Y18" s="1423" t="n">
        <v>0</v>
      </c>
      <c r="Z18" s="1423" t="n">
        <v>7</v>
      </c>
      <c r="AA18" s="1423" t="n">
        <v>10</v>
      </c>
      <c r="AB18" s="1423" t="n">
        <f>IF(G18="انجام‌شده",1,IF(G18="نیمه‌انجام",0.5,0))</f>
        <v>0</v>
      </c>
      <c r="AC18" s="1423" t="str">
        <v>خیر</v>
      </c>
      <c r="AD18" s="1423" t="n">
        <v>2</v>
      </c>
      <c r="AE18" s="1423" t="n">
        <f>IF(OR(AG18&lt;&gt;240,AD18&gt;2,AND(AC18="بله",OR(L18&lt;&gt;150,M18&lt;&gt;90))),1,0)</f>
        <v>0</v>
      </c>
      <c r="AF18" s="1423" t="str">
        <f>IF(AE18=0,"معتبر","نیازمند بررسی")</f>
        <v>معتبر</v>
      </c>
      <c r="AG18" s="1423" t="n">
        <v>240</v>
      </c>
      <c r="AH18" s="1423" t="n">
        <v>68</v>
      </c>
      <c r="AI18" s="1423" t="n">
        <v>29</v>
      </c>
      <c r="AJ18" s="1423" t="n">
        <v>17</v>
      </c>
      <c r="AK18" s="1423" t="n">
        <v>150</v>
      </c>
      <c r="AL18" s="1423" t="n">
        <v>90</v>
      </c>
      <c r="AM18" s="1423" t="n">
        <v>15</v>
      </c>
    </row>
    <row r="19" ht="96" customHeight="1">
      <c r="A19" s="652" t="str">
        <v>۱۴۰۵/۰۵/۲۹</v>
      </c>
      <c r="B19" s="290" t="str">
        <v>پنجشنبه</v>
      </c>
      <c r="C19" s="281" t="str">
        <v>[۱۵۰ دقیقه | روان‌شناسی رشد کرین] مطالعه فصل ۳: نظریه‌های کردارشناختی: داروین، لورنز و تینبرگن؛ و بالبی و اینزورث، ص ۱۱۴ تا ۱۲۴ (U134)؛ فصل ۴: فلسفه تربیتی مونتسوری، ص ۱۲۵ تا ۱۳۳ (U135)، ۸۷ دقیقه + بازیابیِ بسته‌کتاب همان‌جلسه، ۲۰ دقیقه + بازخورد و اصلاح، ۱۰ دقیقه + مرور D+1/D+3 برای U131، U132 و ۱ واحد دیگر، ۵ دقیقه + آزمونک ۷ سؤالی و تحلیل کامل، ۲۸ دقیقه</v>
      </c>
      <c r="D19" s="281" t="str">
        <v>[۹۰ دقیقه | نظریه‌های روان‌درمانی پروچاسکا] مطالعه فصل ۵: درمان‌های فردمدار، ص ۲۲۰ تا ۲۲۷ (U081)، ۲۵ دقیقه + بازیابیِ بسته‌کتاب همان‌جلسه، ۱۰ دقیقه + بازخورد و اصلاح، ۵ دقیقه + مرور D+1/D+7/D+14 برای U067، U068، U074، U075 و ۱ واحد دیگر، ۱۰ دقیقه + آزمونک ۱۰ سؤالی و تحلیل کامل، ۴۰ دقیقه</v>
      </c>
      <c r="E1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9" s="678" t="n">
        <v>17</v>
      </c>
      <c r="G19" s="290" t="str">
        <v>انجام‌نشده</v>
      </c>
      <c r="H19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19" s="1422" t="n">
        <v>46254</v>
      </c>
      <c r="J19" s="1423" t="n">
        <v>18</v>
      </c>
      <c r="K19" s="1423" t="n">
        <v>3</v>
      </c>
      <c r="L19" s="1423" t="n">
        <v>150</v>
      </c>
      <c r="M19" s="1423" t="n">
        <v>90</v>
      </c>
      <c r="N19" s="1423" t="str">
        <v>روان‌شناسی رشد کرین</v>
      </c>
      <c r="O19" s="1423" t="str">
        <v>نظریه‌های روان‌درمانی پروچاسکا</v>
      </c>
      <c r="P19" s="1423" t="str">
        <v>U134، U135</v>
      </c>
      <c r="Q19" s="1423" t="str">
        <v>U081</v>
      </c>
      <c r="R19" s="1423" t="n">
        <v>20</v>
      </c>
      <c r="S19" s="1423" t="n">
        <v>8</v>
      </c>
      <c r="T19" s="1423" t="n">
        <v>112</v>
      </c>
      <c r="U19" s="1423" t="n">
        <v>30</v>
      </c>
      <c r="V19" s="1423" t="n">
        <v>15</v>
      </c>
      <c r="W19" s="1423" t="n">
        <v>32</v>
      </c>
      <c r="X19" s="1423" t="n">
        <v>36</v>
      </c>
      <c r="Y19" s="1423" t="n">
        <v>0</v>
      </c>
      <c r="Z19" s="1423" t="n">
        <v>7</v>
      </c>
      <c r="AA19" s="1423" t="n">
        <v>10</v>
      </c>
      <c r="AB19" s="1423" t="n">
        <f>IF(G19="انجام‌شده",1,IF(G19="نیمه‌انجام",0.5,0))</f>
        <v>0</v>
      </c>
      <c r="AC19" s="1423" t="str">
        <v>خیر</v>
      </c>
      <c r="AD19" s="1423" t="n">
        <v>2</v>
      </c>
      <c r="AE19" s="1423" t="n">
        <f>IF(OR(AG19&lt;&gt;240,AD19&gt;2,AND(AC19="بله",OR(L19&lt;&gt;150,M19&lt;&gt;90))),1,0)</f>
        <v>0</v>
      </c>
      <c r="AF19" s="1423" t="str">
        <f>IF(AE19=0,"معتبر","نیازمند بررسی")</f>
        <v>معتبر</v>
      </c>
      <c r="AG19" s="1423" t="n">
        <v>240</v>
      </c>
      <c r="AH19" s="1423" t="n">
        <v>68</v>
      </c>
      <c r="AI19" s="1423" t="n">
        <v>28</v>
      </c>
      <c r="AJ19" s="1423" t="n">
        <v>17</v>
      </c>
      <c r="AK19" s="1423" t="n">
        <v>150</v>
      </c>
      <c r="AL19" s="1423" t="n">
        <v>90</v>
      </c>
      <c r="AM19" s="1423" t="n">
        <v>15</v>
      </c>
    </row>
    <row r="20" ht="96" customHeight="1">
      <c r="A20" s="648" t="str">
        <v>۱۴۰۵/۰۵/۳۰</v>
      </c>
      <c r="B20" s="378" t="str">
        <v>جمعه</v>
      </c>
      <c r="C20" s="367" t="str">
        <v>[۱۵۰ دقیقه | نظریه‌های روان‌درمانی پروچاسکا] مطالعه فصل ۵: درمان‌های فردمدار، ص ۲۲۸ تا ۲۴۸ (U082)؛ فصل ۶: درمان‌های تجربی، ص ۲۴۹ تا ۲۵۵ (U083)، ۸۷ دقیقه + بازیابیِ بسته‌کتاب همان‌جلسه، ۲۰ دقیقه + بازخورد و اصلاح، ۱۰ دقیقه + مرور D+1/D+3/D+7 برای U076، U079 و ۱ واحد دیگر، ۵ دقیقه + آزمونک ۷ سؤالی و تحلیل کامل، ۲۸ دقیقه</v>
      </c>
      <c r="D20" s="367" t="str">
        <v>ایستگاه جبرانی و تثبیت — [۹۰ دقیقه | نظریه‌های روان‌درمانی پروچاسکا] اولویت: بالاترین تکلیف ناتمام هفته؛ جایگزین ازپیش‌تعریف‌شده: مرور D+1/D+3/D+7 برای U076، U079، U081 و اصلاح دفتر خطا، ۵۰ دقیقه + آزمون هدفمند ۱۰ سؤالی و تحلیل کامل، ۴۰ دقیقه</v>
      </c>
      <c r="E20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20" s="678" t="n">
        <v>17</v>
      </c>
      <c r="G20" s="378" t="str">
        <v>انجام‌نشده</v>
      </c>
      <c r="H20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20" s="1422" t="n">
        <v>46255</v>
      </c>
      <c r="J20" s="1423" t="n">
        <v>19</v>
      </c>
      <c r="K20" s="1423" t="n">
        <v>3</v>
      </c>
      <c r="L20" s="1423" t="n">
        <v>150</v>
      </c>
      <c r="M20" s="1423" t="n">
        <v>90</v>
      </c>
      <c r="N20" s="1423" t="str">
        <v>نظریه‌های روان‌درمانی پروچاسکا</v>
      </c>
      <c r="O20" s="1423" t="str">
        <v>نظریه‌های روان‌درمانی پروچاسکا</v>
      </c>
      <c r="P20" s="1423" t="str">
        <v>U082، U083</v>
      </c>
      <c r="Q20" s="1423" t="str">
        <v>ایستگاه جبرانی</v>
      </c>
      <c r="R20" s="1423" t="n">
        <v>28</v>
      </c>
      <c r="S20" s="1423" t="n">
        <v>0</v>
      </c>
      <c r="T20" s="1423" t="n">
        <v>87</v>
      </c>
      <c r="U20" s="1423" t="n">
        <v>20</v>
      </c>
      <c r="V20" s="1423" t="n">
        <v>55</v>
      </c>
      <c r="W20" s="1423" t="n">
        <v>32</v>
      </c>
      <c r="X20" s="1423" t="n">
        <v>36</v>
      </c>
      <c r="Y20" s="1423" t="n">
        <v>90</v>
      </c>
      <c r="Z20" s="1423" t="n">
        <v>7</v>
      </c>
      <c r="AA20" s="1423" t="n">
        <v>10</v>
      </c>
      <c r="AB20" s="1423" t="n">
        <f>IF(G20="انجام‌شده",1,IF(G20="نیمه‌انجام",0.5,0))</f>
        <v>0</v>
      </c>
      <c r="AC20" s="1423" t="str">
        <v>بله</v>
      </c>
      <c r="AD20" s="1423" t="n">
        <v>1</v>
      </c>
      <c r="AE20" s="1423" t="n">
        <f>IF(OR(AG20&lt;&gt;240,AD20&gt;2,AND(AC20="بله",OR(L20&lt;&gt;150,M20&lt;&gt;90))),1,0)</f>
        <v>0</v>
      </c>
      <c r="AF20" s="1423" t="str">
        <f>IF(AE20=0,"معتبر","نیازمند بررسی")</f>
        <v>معتبر</v>
      </c>
      <c r="AG20" s="1423" t="n">
        <v>240</v>
      </c>
      <c r="AH20" s="1423" t="n">
        <v>68</v>
      </c>
      <c r="AI20" s="1423" t="n">
        <v>28</v>
      </c>
      <c r="AJ20" s="1423" t="n">
        <v>17</v>
      </c>
      <c r="AK20" s="1423" t="n">
        <v>150</v>
      </c>
      <c r="AL20" s="1423" t="n">
        <v>90</v>
      </c>
      <c r="AM20" s="1423" t="n">
        <v>10</v>
      </c>
    </row>
    <row r="21" ht="96" customHeight="1">
      <c r="A21" s="652" t="str">
        <v>۱۴۰۵/۰۵/۳۱</v>
      </c>
      <c r="B21" s="290" t="str">
        <v>شنبه</v>
      </c>
      <c r="C21" s="281" t="str">
        <v>[۱۵۰ دقیقه | آسیب‌شناسی روانی] مطالعه فصل ۳: طیف اسکیزوفرنی و سایر اختلالات سایکوتیک، ص ۲۲۷ تا ۲۴۶ (U018)، ۸۷ دقیقه + بازیابیِ بسته‌کتاب همان‌جلسه، ۲۰ دقیقه + بازخورد و اصلاح، ۱۰ دقیقه + مرور D+3/D+7/D+14 برای U006، U007 و ۳ واحد دیگر، ۵ دقیقه + آزمونک ۷ سؤالی و تحلیل کامل، ۲۸ دقیقه</v>
      </c>
      <c r="D21" s="281" t="str">
        <v>[۹۰ دقیقه | روان‌شناسی رشد کرین] مطالعه فصل ۴: فلسفه تربیتی مونتسوری، ص ۱۳۴ تا ۱۳۹ (U136)، ۲۵ دقیقه + بازیابیِ بسته‌کتاب همان‌جلسه، ۱۰ دقیقه + بازخورد و اصلاح، ۵ دقیقه + مرور D+1/D+3/D+7 برای U130، U133، U134، U135، ۱۰ دقیقه + آزمونک ۱۰ سؤالی و تحلیل کامل، ۴۰ دقیقه</v>
      </c>
      <c r="E2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1" s="678" t="n">
        <v>17</v>
      </c>
      <c r="G21" s="290" t="str">
        <v>انجام‌نشده</v>
      </c>
      <c r="H21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21" s="1422" t="n">
        <v>46256</v>
      </c>
      <c r="J21" s="1423" t="n">
        <v>20</v>
      </c>
      <c r="K21" s="1423" t="n">
        <v>4</v>
      </c>
      <c r="L21" s="1423" t="n">
        <v>150</v>
      </c>
      <c r="M21" s="1423" t="n">
        <v>90</v>
      </c>
      <c r="N21" s="1423" t="str">
        <v>آسیب‌شناسی روانی</v>
      </c>
      <c r="O21" s="1423" t="str">
        <v>روان‌شناسی رشد کرین</v>
      </c>
      <c r="P21" s="1423" t="str">
        <v>U018</v>
      </c>
      <c r="Q21" s="1423" t="str">
        <v>U136</v>
      </c>
      <c r="R21" s="1423" t="n">
        <v>20</v>
      </c>
      <c r="S21" s="1423" t="n">
        <v>6</v>
      </c>
      <c r="T21" s="1423" t="n">
        <v>112</v>
      </c>
      <c r="U21" s="1423" t="n">
        <v>30</v>
      </c>
      <c r="V21" s="1423" t="n">
        <v>15</v>
      </c>
      <c r="W21" s="1423" t="n">
        <v>32</v>
      </c>
      <c r="X21" s="1423" t="n">
        <v>36</v>
      </c>
      <c r="Y21" s="1423" t="n">
        <v>0</v>
      </c>
      <c r="Z21" s="1423" t="n">
        <v>7</v>
      </c>
      <c r="AA21" s="1423" t="n">
        <v>10</v>
      </c>
      <c r="AB21" s="1423" t="n">
        <f>IF(G21="انجام‌شده",1,IF(G21="نیمه‌انجام",0.5,0))</f>
        <v>0</v>
      </c>
      <c r="AC21" s="1423" t="str">
        <v>خیر</v>
      </c>
      <c r="AD21" s="1423" t="n">
        <v>2</v>
      </c>
      <c r="AE21" s="1423" t="n">
        <f>IF(OR(AG21&lt;&gt;240,AD21&gt;2,AND(AC21="بله",OR(L21&lt;&gt;150,M21&lt;&gt;90))),1,0)</f>
        <v>0</v>
      </c>
      <c r="AF21" s="1423" t="str">
        <f>IF(AE21=0,"معتبر","نیازمند بررسی")</f>
        <v>معتبر</v>
      </c>
      <c r="AG21" s="1423" t="n">
        <v>240</v>
      </c>
      <c r="AH21" s="1423" t="n">
        <v>68</v>
      </c>
      <c r="AI21" s="1423" t="n">
        <v>26</v>
      </c>
      <c r="AJ21" s="1423" t="n">
        <v>17</v>
      </c>
      <c r="AK21" s="1423" t="n">
        <v>150</v>
      </c>
      <c r="AL21" s="1423" t="n">
        <v>90</v>
      </c>
      <c r="AM21" s="1423" t="n">
        <v>15</v>
      </c>
    </row>
    <row r="22" ht="96" customHeight="1">
      <c r="A22" s="648" t="str">
        <v>۱۴۰۵/۰۶/۰۱</v>
      </c>
      <c r="B22" s="378" t="str">
        <v>یکشنبه</v>
      </c>
      <c r="C22" s="367" t="str">
        <v>[۱۵۰ دقیقه | نظریه‌های روان‌درمانی پروچاسکا] مطالعه فصل ۶: درمان‌های تجربی، ص ۲۵۶ تا ۲۸۳ (U084)، ۸۷ دقیقه + بازیابیِ بسته‌کتاب همان‌جلسه، ۲۰ دقیقه + بازخورد و اصلاح، ۱۰ دقیقه + مرور D+1/D+3/D+7/D+14 برای U069، U070 و ۶ واحد دیگر، ۵ دقیقه + آزمونک ۷ سؤالی و تحلیل کامل، ۲۸ دقیقه</v>
      </c>
      <c r="D22" s="367" t="str">
        <v>[۹۰ دقیقه | روان‌شناسی رشد کرین] مطالعه فصل ۴: فلسفه تربیتی مونتسوری، ص ۱۴۰ تا ۱۴۵ (U137)، ۲۵ دقیقه + بازیابیِ بسته‌کتاب همان‌جلسه، ۱۰ دقیقه + بازخورد و اصلاح، ۵ دقیقه + مرور D+1/D+3/D+7 برای U131، U134، U135، U136، ۱۰ دقیقه + آزمونک ۱۰ سؤالی و تحلیل کامل، ۴۰ دقیقه</v>
      </c>
      <c r="E2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2" s="678" t="n">
        <v>17</v>
      </c>
      <c r="G22" s="378" t="str">
        <v>انجام‌نشده</v>
      </c>
      <c r="H22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22" s="1422" t="n">
        <v>46257</v>
      </c>
      <c r="J22" s="1423" t="n">
        <v>21</v>
      </c>
      <c r="K22" s="1423" t="n">
        <v>4</v>
      </c>
      <c r="L22" s="1423" t="n">
        <v>150</v>
      </c>
      <c r="M22" s="1423" t="n">
        <v>90</v>
      </c>
      <c r="N22" s="1423" t="str">
        <v>نظریه‌های روان‌درمانی پروچاسکا</v>
      </c>
      <c r="O22" s="1423" t="str">
        <v>روان‌شناسی رشد کرین</v>
      </c>
      <c r="P22" s="1423" t="str">
        <v>U084</v>
      </c>
      <c r="Q22" s="1423" t="str">
        <v>U137</v>
      </c>
      <c r="R22" s="1423" t="n">
        <v>28</v>
      </c>
      <c r="S22" s="1423" t="n">
        <v>6</v>
      </c>
      <c r="T22" s="1423" t="n">
        <v>112</v>
      </c>
      <c r="U22" s="1423" t="n">
        <v>30</v>
      </c>
      <c r="V22" s="1423" t="n">
        <v>15</v>
      </c>
      <c r="W22" s="1423" t="n">
        <v>32</v>
      </c>
      <c r="X22" s="1423" t="n">
        <v>36</v>
      </c>
      <c r="Y22" s="1423" t="n">
        <v>0</v>
      </c>
      <c r="Z22" s="1423" t="n">
        <v>7</v>
      </c>
      <c r="AA22" s="1423" t="n">
        <v>10</v>
      </c>
      <c r="AB22" s="1423" t="n">
        <f>IF(G22="انجام‌شده",1,IF(G22="نیمه‌انجام",0.5,0))</f>
        <v>0</v>
      </c>
      <c r="AC22" s="1423" t="str">
        <v>خیر</v>
      </c>
      <c r="AD22" s="1423" t="n">
        <v>2</v>
      </c>
      <c r="AE22" s="1423" t="n">
        <f>IF(OR(AG22&lt;&gt;240,AD22&gt;2,AND(AC22="بله",OR(L22&lt;&gt;150,M22&lt;&gt;90))),1,0)</f>
        <v>0</v>
      </c>
      <c r="AF22" s="1423" t="str">
        <f>IF(AE22=0,"معتبر","نیازمند بررسی")</f>
        <v>معتبر</v>
      </c>
      <c r="AG22" s="1423" t="n">
        <v>240</v>
      </c>
      <c r="AH22" s="1423" t="n">
        <v>68</v>
      </c>
      <c r="AI22" s="1423" t="n">
        <v>34</v>
      </c>
      <c r="AJ22" s="1423" t="n">
        <v>17</v>
      </c>
      <c r="AK22" s="1423" t="n">
        <v>150</v>
      </c>
      <c r="AL22" s="1423" t="n">
        <v>90</v>
      </c>
      <c r="AM22" s="1423" t="n">
        <v>15</v>
      </c>
    </row>
    <row r="23" ht="96" customHeight="1">
      <c r="A23" s="652" t="str">
        <v>۱۴۰۵/۰۶/۰۲</v>
      </c>
      <c r="B23" s="290" t="str">
        <v>دوشنبه</v>
      </c>
      <c r="C23" s="281" t="str">
        <v>[۱۵۰ دقیقه | روان‌شناسی رشد کرین] مطالعه فصل ۴: فلسفه تربیتی مونتسوری، ص ۱۴۶ تا ۱۵۴ (U138)؛ فصل ۵: نظریه ارگانیسمی و تطبیقی ورنر، ص ۱۵۵ تا ۱۶۵ (U139)، ۸۷ دقیقه + بازیابیِ بسته‌کتاب همان‌جلسه، ۲۰ دقیقه + بازخورد و اصلاح، ۱۰ دقیقه + مرور D+1/D+7 برای U132، U137، ۵ دقیقه + آزمونک ۷ سؤالی و تحلیل کامل، ۲۸ دقیقه</v>
      </c>
      <c r="D23" s="281" t="str">
        <v>[۹۰ دقیقه | آسیب‌شناسی روانی] مطالعه فصل ۴: دوقطبی و اختلالات مرتبط، ص ۲۴۷ تا ۲۵۲ (U019)، ۲۵ دقیقه + بازیابیِ بسته‌کتاب همان‌جلسه، ۱۰ دقیقه + بازخورد و اصلاح، ۵ دقیقه + مرور D+1/D+7/D+14 برای U009، U010، U016، U018، ۱۰ دقیقه + آزمونک ۱۰ سؤالی و تحلیل کامل، ۴۰ دقیقه</v>
      </c>
      <c r="E2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3" s="678" t="n">
        <v>17</v>
      </c>
      <c r="G23" s="290" t="str">
        <v>انجام‌نشده</v>
      </c>
      <c r="H23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23" s="1422" t="n">
        <v>46258</v>
      </c>
      <c r="J23" s="1423" t="n">
        <v>22</v>
      </c>
      <c r="K23" s="1423" t="n">
        <v>4</v>
      </c>
      <c r="L23" s="1423" t="n">
        <v>150</v>
      </c>
      <c r="M23" s="1423" t="n">
        <v>90</v>
      </c>
      <c r="N23" s="1423" t="str">
        <v>روان‌شناسی رشد کرین</v>
      </c>
      <c r="O23" s="1423" t="str">
        <v>آسیب‌شناسی روانی</v>
      </c>
      <c r="P23" s="1423" t="str">
        <v>U138، U139</v>
      </c>
      <c r="Q23" s="1423" t="str">
        <v>U019</v>
      </c>
      <c r="R23" s="1423" t="n">
        <v>20</v>
      </c>
      <c r="S23" s="1423" t="n">
        <v>6</v>
      </c>
      <c r="T23" s="1423" t="n">
        <v>112</v>
      </c>
      <c r="U23" s="1423" t="n">
        <v>30</v>
      </c>
      <c r="V23" s="1423" t="n">
        <v>15</v>
      </c>
      <c r="W23" s="1423" t="n">
        <v>32</v>
      </c>
      <c r="X23" s="1423" t="n">
        <v>36</v>
      </c>
      <c r="Y23" s="1423" t="n">
        <v>0</v>
      </c>
      <c r="Z23" s="1423" t="n">
        <v>7</v>
      </c>
      <c r="AA23" s="1423" t="n">
        <v>10</v>
      </c>
      <c r="AB23" s="1423" t="n">
        <f>IF(G23="انجام‌شده",1,IF(G23="نیمه‌انجام",0.5,0))</f>
        <v>0</v>
      </c>
      <c r="AC23" s="1423" t="str">
        <v>خیر</v>
      </c>
      <c r="AD23" s="1423" t="n">
        <v>2</v>
      </c>
      <c r="AE23" s="1423" t="n">
        <f>IF(OR(AG23&lt;&gt;240,AD23&gt;2,AND(AC23="بله",OR(L23&lt;&gt;150,M23&lt;&gt;90))),1,0)</f>
        <v>0</v>
      </c>
      <c r="AF23" s="1423" t="str">
        <f>IF(AE23=0,"معتبر","نیازمند بررسی")</f>
        <v>معتبر</v>
      </c>
      <c r="AG23" s="1423" t="n">
        <v>240</v>
      </c>
      <c r="AH23" s="1423" t="n">
        <v>68</v>
      </c>
      <c r="AI23" s="1423" t="n">
        <v>26</v>
      </c>
      <c r="AJ23" s="1423" t="n">
        <v>17</v>
      </c>
      <c r="AK23" s="1423" t="n">
        <v>150</v>
      </c>
      <c r="AL23" s="1423" t="n">
        <v>90</v>
      </c>
      <c r="AM23" s="1423" t="n">
        <v>15</v>
      </c>
    </row>
    <row r="24" ht="96" customHeight="1">
      <c r="A24" s="648" t="str">
        <v>۱۴۰۵/۰۶/۰۳</v>
      </c>
      <c r="B24" s="378" t="str">
        <v>سه‌شنبه</v>
      </c>
      <c r="C24" s="367" t="str">
        <v>[۱۵۰ دقیقه | آسیب‌شناسی روانی] مطالعه فصل ۴: دوقطبی و اختلالات مرتبط، ص ۲۵۳ تا ۲۶۰ (U020)؛ فصل ۵: اختلالات افسردگی، ص ۲۶۱ تا ۲۷۲ (U021)، ۸۷ دقیقه + بازیابیِ بسته‌کتاب همان‌جلسه، ۲۰ دقیقه + بازخورد و اصلاح، ۱۰ دقیقه + مرور D+1/D+3/D+14 برای U011، U012 و ۲ واحد دیگر، ۵ دقیقه + آزمونک ۷ سؤالی و تحلیل کامل، ۲۸ دقیقه</v>
      </c>
      <c r="D24" s="367" t="str">
        <v>[۹۰ دقیقه | نظریه‌های روان‌درمانی پروچاسکا] مطالعه فصل ۶: درمان‌های تجربی، ص ۲۸۴ تا ۲۹۱ (U085)، ۲۵ دقیقه + بازیابیِ بسته‌کتاب همان‌جلسه، ۱۰ دقیقه + بازخورد و اصلاح، ۵ دقیقه + مرور D+1/D+3/D+7/D+14 برای U071، U072، U079، U082 و ۲ واحد دیگر، ۱۰ دقیقه + آزمونک ۱۰ سؤالی و تحلیل کامل، ۴۰ دقیقه</v>
      </c>
      <c r="E2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4" s="678" t="n">
        <v>17</v>
      </c>
      <c r="G24" s="378" t="str">
        <v>انجام‌نشده</v>
      </c>
      <c r="H2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24" s="1422" t="n">
        <v>46259</v>
      </c>
      <c r="J24" s="1423" t="n">
        <v>23</v>
      </c>
      <c r="K24" s="1423" t="n">
        <v>4</v>
      </c>
      <c r="L24" s="1423" t="n">
        <v>150</v>
      </c>
      <c r="M24" s="1423" t="n">
        <v>90</v>
      </c>
      <c r="N24" s="1423" t="str">
        <v>آسیب‌شناسی روانی</v>
      </c>
      <c r="O24" s="1423" t="str">
        <v>نظریه‌های روان‌درمانی پروچاسکا</v>
      </c>
      <c r="P24" s="1423" t="str">
        <v>U020، U021</v>
      </c>
      <c r="Q24" s="1423" t="str">
        <v>U085</v>
      </c>
      <c r="R24" s="1423" t="n">
        <v>20</v>
      </c>
      <c r="S24" s="1423" t="n">
        <v>8</v>
      </c>
      <c r="T24" s="1423" t="n">
        <v>112</v>
      </c>
      <c r="U24" s="1423" t="n">
        <v>30</v>
      </c>
      <c r="V24" s="1423" t="n">
        <v>15</v>
      </c>
      <c r="W24" s="1423" t="n">
        <v>32</v>
      </c>
      <c r="X24" s="1423" t="n">
        <v>36</v>
      </c>
      <c r="Y24" s="1423" t="n">
        <v>0</v>
      </c>
      <c r="Z24" s="1423" t="n">
        <v>7</v>
      </c>
      <c r="AA24" s="1423" t="n">
        <v>10</v>
      </c>
      <c r="AB24" s="1423" t="n">
        <f>IF(G24="انجام‌شده",1,IF(G24="نیمه‌انجام",0.5,0))</f>
        <v>0</v>
      </c>
      <c r="AC24" s="1423" t="str">
        <v>خیر</v>
      </c>
      <c r="AD24" s="1423" t="n">
        <v>2</v>
      </c>
      <c r="AE24" s="1423" t="n">
        <f>IF(OR(AG24&lt;&gt;240,AD24&gt;2,AND(AC24="بله",OR(L24&lt;&gt;150,M24&lt;&gt;90))),1,0)</f>
        <v>0</v>
      </c>
      <c r="AF24" s="1423" t="str">
        <f>IF(AE24=0,"معتبر","نیازمند بررسی")</f>
        <v>معتبر</v>
      </c>
      <c r="AG24" s="1423" t="n">
        <v>240</v>
      </c>
      <c r="AH24" s="1423" t="n">
        <v>68</v>
      </c>
      <c r="AI24" s="1423" t="n">
        <v>28</v>
      </c>
      <c r="AJ24" s="1423" t="n">
        <v>17</v>
      </c>
      <c r="AK24" s="1423" t="n">
        <v>150</v>
      </c>
      <c r="AL24" s="1423" t="n">
        <v>90</v>
      </c>
      <c r="AM24" s="1423" t="n">
        <v>15</v>
      </c>
    </row>
    <row r="25" ht="96" customHeight="1">
      <c r="A25" s="652" t="str">
        <v>۱۴۰۵/۰۶/۰۴</v>
      </c>
      <c r="B25" s="290" t="str">
        <v>چهارشنبه</v>
      </c>
      <c r="C25" s="281" t="str">
        <v>[۱۵۰ دقیقه | روان‌شناسی رشد کرین] مطالعه فصل ۵: نظریه ارگانیسمی و تطبیقی ورنر، ص ۱۶۶ تا ۱۸۵ (U140)، ۸۷ دقیقه + بازیابیِ بسته‌کتاب همان‌جلسه، ۲۰ دقیقه + بازخورد و اصلاح، ۱۰ دقیقه + مرور D+1/D+3/D+7/D+14 برای U128، U129 و ۱۰ واحد دیگر، ۵ دقیقه + آزمونک ۷ سؤالی و تحلیل کامل، ۲۸ دقیقه</v>
      </c>
      <c r="D25" s="281" t="str">
        <v>[۹۰ دقیقه | نظریه‌های روان‌درمانی پروچاسکا] مطالعه فصل ۶: درمان‌های تجربی، ص ۲۹۲ تا ۲۹۹ (U086)، ۲۵ دقیقه + بازیابیِ بسته‌کتاب همان‌جلسه، ۱۰ دقیقه + بازخورد و اصلاح، ۵ دقیقه + مرور D+1/D+3/D+7/D+14 برای U073، U080، U084، U085، ۱۰ دقیقه + آزمونک ۱۰ سؤالی و تحلیل کامل، ۴۰ دقیقه</v>
      </c>
      <c r="E2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5" s="678" t="n">
        <v>17</v>
      </c>
      <c r="G25" s="290" t="str">
        <v>انجام‌نشده</v>
      </c>
      <c r="H25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25" s="1422" t="n">
        <v>46260</v>
      </c>
      <c r="J25" s="1423" t="n">
        <v>24</v>
      </c>
      <c r="K25" s="1423" t="n">
        <v>4</v>
      </c>
      <c r="L25" s="1423" t="n">
        <v>150</v>
      </c>
      <c r="M25" s="1423" t="n">
        <v>90</v>
      </c>
      <c r="N25" s="1423" t="str">
        <v>روان‌شناسی رشد کرین</v>
      </c>
      <c r="O25" s="1423" t="str">
        <v>نظریه‌های روان‌درمانی پروچاسکا</v>
      </c>
      <c r="P25" s="1423" t="str">
        <v>U140</v>
      </c>
      <c r="Q25" s="1423" t="str">
        <v>U086</v>
      </c>
      <c r="R25" s="1423" t="n">
        <v>20</v>
      </c>
      <c r="S25" s="1423" t="n">
        <v>8</v>
      </c>
      <c r="T25" s="1423" t="n">
        <v>112</v>
      </c>
      <c r="U25" s="1423" t="n">
        <v>30</v>
      </c>
      <c r="V25" s="1423" t="n">
        <v>15</v>
      </c>
      <c r="W25" s="1423" t="n">
        <v>32</v>
      </c>
      <c r="X25" s="1423" t="n">
        <v>36</v>
      </c>
      <c r="Y25" s="1423" t="n">
        <v>0</v>
      </c>
      <c r="Z25" s="1423" t="n">
        <v>7</v>
      </c>
      <c r="AA25" s="1423" t="n">
        <v>10</v>
      </c>
      <c r="AB25" s="1423" t="n">
        <f>IF(G25="انجام‌شده",1,IF(G25="نیمه‌انجام",0.5,0))</f>
        <v>0</v>
      </c>
      <c r="AC25" s="1423" t="str">
        <v>خیر</v>
      </c>
      <c r="AD25" s="1423" t="n">
        <v>2</v>
      </c>
      <c r="AE25" s="1423" t="n">
        <f>IF(OR(AG25&lt;&gt;240,AD25&gt;2,AND(AC25="بله",OR(L25&lt;&gt;150,M25&lt;&gt;90))),1,0)</f>
        <v>0</v>
      </c>
      <c r="AF25" s="1423" t="str">
        <f>IF(AE25=0,"معتبر","نیازمند بررسی")</f>
        <v>معتبر</v>
      </c>
      <c r="AG25" s="1423" t="n">
        <v>240</v>
      </c>
      <c r="AH25" s="1423" t="n">
        <v>68</v>
      </c>
      <c r="AI25" s="1423" t="n">
        <v>28</v>
      </c>
      <c r="AJ25" s="1423" t="n">
        <v>17</v>
      </c>
      <c r="AK25" s="1423" t="n">
        <v>150</v>
      </c>
      <c r="AL25" s="1423" t="n">
        <v>90</v>
      </c>
      <c r="AM25" s="1423" t="n">
        <v>15</v>
      </c>
    </row>
    <row r="26" ht="96" customHeight="1">
      <c r="A26" s="648" t="str">
        <v>۱۴۰۵/۰۶/۰۵</v>
      </c>
      <c r="B26" s="378" t="str">
        <v>پنجشنبه</v>
      </c>
      <c r="C26" s="367" t="str">
        <v>[۱۵۰ دقیقه | آسیب‌شناسی روانی] مطالعه فصل ۵: اختلالات افسردگی، ص ۲۷۳ تا ۲۹۲ (U022)، ۸۷ دقیقه + بازیابیِ بسته‌کتاب همان‌جلسه، ۲۰ دقیقه + بازخورد و اصلاح، ۱۰ دقیقه + مرور D+1/D+3/D+7/D+14 برای U013، U014 و ۴ واحد دیگر، ۵ دقیقه + آزمونک ۷ سؤالی و تحلیل کامل، ۲۸ دقیقه</v>
      </c>
      <c r="D26" s="367" t="str">
        <v>[۹۰ دقیقه | نظریه‌های روان‌درمانی پروچاسکا] مطالعه فصل ۶: درمان‌های تجربی، ص ۳۰۰ تا ۳۰۰ (U087)؛ فصل ۷: درمان‌های بین‌فردی، ص ۳۰۱ تا ۳۰۷ (U088)، ۲۵ دقیقه + بازیابیِ بسته‌کتاب همان‌جلسه، ۱۰ دقیقه + بازخورد و اصلاح، ۵ دقیقه + مرور D+1/D+7/D+14 برای U074، U075، U081، U086، ۱۰ دقیقه + آزمونک ۱۰ سؤالی و تحلیل کامل، ۴۰ دقیقه</v>
      </c>
      <c r="E2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6" s="678" t="n">
        <v>17</v>
      </c>
      <c r="G26" s="378" t="str">
        <v>انجام‌نشده</v>
      </c>
      <c r="H26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26" s="1422" t="n">
        <v>46261</v>
      </c>
      <c r="J26" s="1423" t="n">
        <v>25</v>
      </c>
      <c r="K26" s="1423" t="n">
        <v>4</v>
      </c>
      <c r="L26" s="1423" t="n">
        <v>150</v>
      </c>
      <c r="M26" s="1423" t="n">
        <v>90</v>
      </c>
      <c r="N26" s="1423" t="str">
        <v>آسیب‌شناسی روانی</v>
      </c>
      <c r="O26" s="1423" t="str">
        <v>نظریه‌های روان‌درمانی پروچاسکا</v>
      </c>
      <c r="P26" s="1423" t="str">
        <v>U022</v>
      </c>
      <c r="Q26" s="1423" t="str">
        <v>U087، U088</v>
      </c>
      <c r="R26" s="1423" t="n">
        <v>20</v>
      </c>
      <c r="S26" s="1423" t="n">
        <v>8</v>
      </c>
      <c r="T26" s="1423" t="n">
        <v>112</v>
      </c>
      <c r="U26" s="1423" t="n">
        <v>30</v>
      </c>
      <c r="V26" s="1423" t="n">
        <v>15</v>
      </c>
      <c r="W26" s="1423" t="n">
        <v>32</v>
      </c>
      <c r="X26" s="1423" t="n">
        <v>36</v>
      </c>
      <c r="Y26" s="1423" t="n">
        <v>0</v>
      </c>
      <c r="Z26" s="1423" t="n">
        <v>7</v>
      </c>
      <c r="AA26" s="1423" t="n">
        <v>10</v>
      </c>
      <c r="AB26" s="1423" t="n">
        <f>IF(G26="انجام‌شده",1,IF(G26="نیمه‌انجام",0.5,0))</f>
        <v>0</v>
      </c>
      <c r="AC26" s="1423" t="str">
        <v>خیر</v>
      </c>
      <c r="AD26" s="1423" t="n">
        <v>2</v>
      </c>
      <c r="AE26" s="1423" t="n">
        <f>IF(OR(AG26&lt;&gt;240,AD26&gt;2,AND(AC26="بله",OR(L26&lt;&gt;150,M26&lt;&gt;90))),1,0)</f>
        <v>0</v>
      </c>
      <c r="AF26" s="1423" t="str">
        <f>IF(AE26=0,"معتبر","نیازمند بررسی")</f>
        <v>معتبر</v>
      </c>
      <c r="AG26" s="1423" t="n">
        <v>240</v>
      </c>
      <c r="AH26" s="1423" t="n">
        <v>68</v>
      </c>
      <c r="AI26" s="1423" t="n">
        <v>28</v>
      </c>
      <c r="AJ26" s="1423" t="n">
        <v>17</v>
      </c>
      <c r="AK26" s="1423" t="n">
        <v>150</v>
      </c>
      <c r="AL26" s="1423" t="n">
        <v>90</v>
      </c>
      <c r="AM26" s="1423" t="n">
        <v>15</v>
      </c>
    </row>
    <row r="27" ht="96" customHeight="1">
      <c r="A27" s="652" t="str">
        <v>۱۴۰۵/۰۶/۰۶</v>
      </c>
      <c r="B27" s="290" t="str">
        <v>جمعه</v>
      </c>
      <c r="C27" s="281" t="str">
        <v>[۱۵۰ دقیقه | نظریه‌های روان‌درمانی پروچاسکا] مطالعه فصل ۷: درمان‌های بین‌فردی، ص ۳۰۸ تا ۳۳۵ (U089)، ۸۷ دقیقه + بازیابیِ بسته‌کتاب همان‌جلسه، ۲۰ دقیقه + بازخورد و اصلاح، ۱۰ دقیقه + مرور D+1/D+3/D+7/D+14 برای U076، U082 و ۴ واحد دیگر، ۵ دقیقه + آزمونک ۷ سؤالی و تحلیل کامل، ۲۸ دقیقه</v>
      </c>
      <c r="D27" s="281" t="str">
        <v>ایستگاه جبرانی و تثبیت — [۹۰ دقیقه | نظریه‌های روان‌درمانی پروچاسکا] اولویت: بالاترین تکلیف ناتمام هفته؛ جایگزین ازپیش‌تعریف‌شده: مرور D+1/D+3/D+7/D+14 برای U076، U082، U083، U085، U087، U088 و اصلاح دفتر خطا، ۵۰ دقیقه + آزمون هدفمند ۱۰ سؤالی و تحلیل کامل، ۴۰ دقیقه</v>
      </c>
      <c r="E27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27" s="678" t="n">
        <v>17</v>
      </c>
      <c r="G27" s="290" t="str">
        <v>انجام‌نشده</v>
      </c>
      <c r="H27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27" s="1422" t="n">
        <v>46262</v>
      </c>
      <c r="J27" s="1423" t="n">
        <v>26</v>
      </c>
      <c r="K27" s="1423" t="n">
        <v>4</v>
      </c>
      <c r="L27" s="1423" t="n">
        <v>150</v>
      </c>
      <c r="M27" s="1423" t="n">
        <v>90</v>
      </c>
      <c r="N27" s="1423" t="str">
        <v>نظریه‌های روان‌درمانی پروچاسکا</v>
      </c>
      <c r="O27" s="1423" t="str">
        <v>نظریه‌های روان‌درمانی پروچاسکا</v>
      </c>
      <c r="P27" s="1423" t="str">
        <v>U089</v>
      </c>
      <c r="Q27" s="1423" t="str">
        <v>ایستگاه جبرانی</v>
      </c>
      <c r="R27" s="1423" t="n">
        <v>28</v>
      </c>
      <c r="S27" s="1423" t="n">
        <v>0</v>
      </c>
      <c r="T27" s="1423" t="n">
        <v>87</v>
      </c>
      <c r="U27" s="1423" t="n">
        <v>20</v>
      </c>
      <c r="V27" s="1423" t="n">
        <v>55</v>
      </c>
      <c r="W27" s="1423" t="n">
        <v>32</v>
      </c>
      <c r="X27" s="1423" t="n">
        <v>36</v>
      </c>
      <c r="Y27" s="1423" t="n">
        <v>90</v>
      </c>
      <c r="Z27" s="1423" t="n">
        <v>7</v>
      </c>
      <c r="AA27" s="1423" t="n">
        <v>10</v>
      </c>
      <c r="AB27" s="1423" t="n">
        <f>IF(G27="انجام‌شده",1,IF(G27="نیمه‌انجام",0.5,0))</f>
        <v>0</v>
      </c>
      <c r="AC27" s="1423" t="str">
        <v>بله</v>
      </c>
      <c r="AD27" s="1423" t="n">
        <v>1</v>
      </c>
      <c r="AE27" s="1423" t="n">
        <f>IF(OR(AG27&lt;&gt;240,AD27&gt;2,AND(AC27="بله",OR(L27&lt;&gt;150,M27&lt;&gt;90))),1,0)</f>
        <v>0</v>
      </c>
      <c r="AF27" s="1423" t="str">
        <f>IF(AE27=0,"معتبر","نیازمند بررسی")</f>
        <v>معتبر</v>
      </c>
      <c r="AG27" s="1423" t="n">
        <v>240</v>
      </c>
      <c r="AH27" s="1423" t="n">
        <v>68</v>
      </c>
      <c r="AI27" s="1423" t="n">
        <v>28</v>
      </c>
      <c r="AJ27" s="1423" t="n">
        <v>17</v>
      </c>
      <c r="AK27" s="1423" t="n">
        <v>150</v>
      </c>
      <c r="AL27" s="1423" t="n">
        <v>90</v>
      </c>
      <c r="AM27" s="1423" t="n">
        <v>10</v>
      </c>
    </row>
    <row r="28" ht="96" customHeight="1">
      <c r="A28" s="648" t="str">
        <v>۱۴۰۵/۰۶/۰۷</v>
      </c>
      <c r="B28" s="378" t="str">
        <v>شنبه</v>
      </c>
      <c r="C28" s="367" t="str">
        <v>[۱۵۰ دقیقه | روان‌شناسی رشد کرین] مطالعه فصل ۵: نظریه ارگانیسمی و تطبیقی ورنر، ص ۱۸۶ تا ۱۹۰ (U141)؛ فصل ۶: نظریه رشدی ـ شناختی پیاژه، ص ۱۹۱ تا ۲۰۵ (U142)، ۸۷ دقیقه + بازیابیِ بسته‌کتاب همان‌جلسه، ۲۰ دقیقه + بازخورد و اصلاح، ۱۰ دقیقه + مرور D+3/D+7/D+14 برای U130، U136 و ۱ واحد دیگر، ۵ دقیقه + آزمونک ۷ سؤالی و تحلیل کامل، ۲۸ دقیقه</v>
      </c>
      <c r="D28" s="367" t="str">
        <v>[۹۰ دقیقه | آسیب‌شناسی روانی] مطالعه فصل ۵: اختلالات افسردگی، ص ۲۹۳ تا ۲۹۸ (U023)، ۲۵ دقیقه + بازیابیِ بسته‌کتاب همان‌جلسه، ۱۰ دقیقه + بازخورد و اصلاح، ۵ دقیقه + مرور D+1/D+3/D+7/D+14 برای U015، U018، U020، U021 و ۱ واحد دیگر، ۱۰ دقیقه + آزمونک ۱۰ سؤالی و تحلیل کامل، ۴۰ دقیقه</v>
      </c>
      <c r="E2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8" s="678" t="n">
        <v>17</v>
      </c>
      <c r="G28" s="378" t="str">
        <v>انجام‌نشده</v>
      </c>
      <c r="H28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28" s="1422" t="n">
        <v>46263</v>
      </c>
      <c r="J28" s="1423" t="n">
        <v>27</v>
      </c>
      <c r="K28" s="1423" t="n">
        <v>5</v>
      </c>
      <c r="L28" s="1423" t="n">
        <v>150</v>
      </c>
      <c r="M28" s="1423" t="n">
        <v>90</v>
      </c>
      <c r="N28" s="1423" t="str">
        <v>روان‌شناسی رشد کرین</v>
      </c>
      <c r="O28" s="1423" t="str">
        <v>آسیب‌شناسی روانی</v>
      </c>
      <c r="P28" s="1423" t="str">
        <v>U141، U142</v>
      </c>
      <c r="Q28" s="1423" t="str">
        <v>U023</v>
      </c>
      <c r="R28" s="1423" t="n">
        <v>20</v>
      </c>
      <c r="S28" s="1423" t="n">
        <v>6</v>
      </c>
      <c r="T28" s="1423" t="n">
        <v>112</v>
      </c>
      <c r="U28" s="1423" t="n">
        <v>30</v>
      </c>
      <c r="V28" s="1423" t="n">
        <v>15</v>
      </c>
      <c r="W28" s="1423" t="n">
        <v>32</v>
      </c>
      <c r="X28" s="1423" t="n">
        <v>36</v>
      </c>
      <c r="Y28" s="1423" t="n">
        <v>0</v>
      </c>
      <c r="Z28" s="1423" t="n">
        <v>7</v>
      </c>
      <c r="AA28" s="1423" t="n">
        <v>10</v>
      </c>
      <c r="AB28" s="1423" t="n">
        <f>IF(G28="انجام‌شده",1,IF(G28="نیمه‌انجام",0.5,0))</f>
        <v>0</v>
      </c>
      <c r="AC28" s="1423" t="str">
        <v>خیر</v>
      </c>
      <c r="AD28" s="1423" t="n">
        <v>2</v>
      </c>
      <c r="AE28" s="1423" t="n">
        <f>IF(OR(AG28&lt;&gt;240,AD28&gt;2,AND(AC28="بله",OR(L28&lt;&gt;150,M28&lt;&gt;90))),1,0)</f>
        <v>0</v>
      </c>
      <c r="AF28" s="1423" t="str">
        <f>IF(AE28=0,"معتبر","نیازمند بررسی")</f>
        <v>معتبر</v>
      </c>
      <c r="AG28" s="1423" t="n">
        <v>240</v>
      </c>
      <c r="AH28" s="1423" t="n">
        <v>68</v>
      </c>
      <c r="AI28" s="1423" t="n">
        <v>26</v>
      </c>
      <c r="AJ28" s="1423" t="n">
        <v>17</v>
      </c>
      <c r="AK28" s="1423" t="n">
        <v>150</v>
      </c>
      <c r="AL28" s="1423" t="n">
        <v>90</v>
      </c>
      <c r="AM28" s="1423" t="n">
        <v>15</v>
      </c>
    </row>
    <row r="29" ht="96" customHeight="1">
      <c r="A29" s="652" t="str">
        <v>۱۴۰۵/۰۶/۰۸</v>
      </c>
      <c r="B29" s="290" t="str">
        <v>یکشنبه</v>
      </c>
      <c r="C29" s="281" t="str">
        <v>[۱۵۰ دقیقه | نظریه‌های روان‌درمانی پروچاسکا] مطالعه فصل ۷: درمان‌های بین‌فردی، ص ۳۳۶ تا ۳۳۸ (U090)؛ فصل ۸: درمان‌های مواجهه‌سازی، ص ۳۳۹ تا ۳۶۳ (U091)، ۸۷ دقیقه + بازیابیِ بسته‌کتاب همان‌جلسه، ۲۰ دقیقه + بازخورد و اصلاح، ۱۰ دقیقه + مرور D+1/D+3/D+7/D+14 برای U077، U078 و ۵ واحد دیگر، ۵ دقیقه + آزمونک ۷ سؤالی و تحلیل کامل، ۲۸ دقیقه</v>
      </c>
      <c r="D29" s="281" t="str">
        <v>[۹۰ دقیقه | آسیب‌شناسی روانی] مطالعه فصل ۵: اختلالات افسردگی، ص ۲۹۹ تا ۳۰۴ (U024)، ۲۵ دقیقه + بازیابیِ بسته‌کتاب همان‌جلسه، ۱۰ دقیقه + بازخورد و اصلاح، ۵ دقیقه + مرور D+1/D+3 برای U022، U023، ۱۰ دقیقه + آزمونک ۱۰ سؤالی و تحلیل کامل، ۴۰ دقیقه</v>
      </c>
      <c r="E2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9" s="678" t="n">
        <v>17</v>
      </c>
      <c r="G29" s="290" t="str">
        <v>انجام‌نشده</v>
      </c>
      <c r="H29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29" s="1422" t="n">
        <v>46264</v>
      </c>
      <c r="J29" s="1423" t="n">
        <v>28</v>
      </c>
      <c r="K29" s="1423" t="n">
        <v>5</v>
      </c>
      <c r="L29" s="1423" t="n">
        <v>150</v>
      </c>
      <c r="M29" s="1423" t="n">
        <v>90</v>
      </c>
      <c r="N29" s="1423" t="str">
        <v>نظریه‌های روان‌درمانی پروچاسکا</v>
      </c>
      <c r="O29" s="1423" t="str">
        <v>آسیب‌شناسی روانی</v>
      </c>
      <c r="P29" s="1423" t="str">
        <v>U090، U091</v>
      </c>
      <c r="Q29" s="1423" t="str">
        <v>U024</v>
      </c>
      <c r="R29" s="1423" t="n">
        <v>28</v>
      </c>
      <c r="S29" s="1423" t="n">
        <v>6</v>
      </c>
      <c r="T29" s="1423" t="n">
        <v>112</v>
      </c>
      <c r="U29" s="1423" t="n">
        <v>30</v>
      </c>
      <c r="V29" s="1423" t="n">
        <v>15</v>
      </c>
      <c r="W29" s="1423" t="n">
        <v>32</v>
      </c>
      <c r="X29" s="1423" t="n">
        <v>36</v>
      </c>
      <c r="Y29" s="1423" t="n">
        <v>0</v>
      </c>
      <c r="Z29" s="1423" t="n">
        <v>7</v>
      </c>
      <c r="AA29" s="1423" t="n">
        <v>10</v>
      </c>
      <c r="AB29" s="1423" t="n">
        <f>IF(G29="انجام‌شده",1,IF(G29="نیمه‌انجام",0.5,0))</f>
        <v>0</v>
      </c>
      <c r="AC29" s="1423" t="str">
        <v>خیر</v>
      </c>
      <c r="AD29" s="1423" t="n">
        <v>2</v>
      </c>
      <c r="AE29" s="1423" t="n">
        <f>IF(OR(AG29&lt;&gt;240,AD29&gt;2,AND(AC29="بله",OR(L29&lt;&gt;150,M29&lt;&gt;90))),1,0)</f>
        <v>0</v>
      </c>
      <c r="AF29" s="1423" t="str">
        <f>IF(AE29=0,"معتبر","نیازمند بررسی")</f>
        <v>معتبر</v>
      </c>
      <c r="AG29" s="1423" t="n">
        <v>240</v>
      </c>
      <c r="AH29" s="1423" t="n">
        <v>68</v>
      </c>
      <c r="AI29" s="1423" t="n">
        <v>34</v>
      </c>
      <c r="AJ29" s="1423" t="n">
        <v>17</v>
      </c>
      <c r="AK29" s="1423" t="n">
        <v>150</v>
      </c>
      <c r="AL29" s="1423" t="n">
        <v>90</v>
      </c>
      <c r="AM29" s="1423" t="n">
        <v>15</v>
      </c>
    </row>
    <row r="30" ht="96" customHeight="1">
      <c r="A30" s="648" t="str">
        <v>۱۴۰۵/۰۶/۰۹</v>
      </c>
      <c r="B30" s="378" t="str">
        <v>دوشنبه</v>
      </c>
      <c r="C30" s="367" t="str">
        <v>[۱۵۰ دقیقه | روان‌شناسی رشد کرین] مطالعه فصل ۶: نظریه رشدی ـ شناختی پیاژه، ص ۲۰۶ تا ۲۲۵ (U143)، ۸۷ دقیقه + بازیابیِ بسته‌کتاب همان‌جلسه، ۲۰ دقیقه + بازخورد و اصلاح، ۱۰ دقیقه + مرور D+1/D+7/D+14 برای U131، U132 و ۵ واحد دیگر، ۵ دقیقه + آزمونک ۷ سؤالی و تحلیل کامل، ۲۸ دقیقه</v>
      </c>
      <c r="D30" s="367" t="str">
        <v>[۹۰ دقیقه | آسیب‌شناسی روانی] مطالعه فصل ۵: اختلالات افسردگی، ص ۳۰۵ تا ۳۱۰ (U025)، ۲۵ دقیقه + بازیابیِ بسته‌کتاب همان‌جلسه، ۱۰ دقیقه + بازخورد و اصلاح، ۵ دقیقه + مرور D+1/D+7/D+14/D+28 برای U001، U002، U016، U019 و ۱ واحد دیگر، ۱۰ دقیقه + آزمونک ۱۰ سؤالی و تحلیل کامل، ۴۰ دقیقه</v>
      </c>
      <c r="E3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0" s="678" t="n">
        <v>17</v>
      </c>
      <c r="G30" s="378" t="str">
        <v>انجام‌نشده</v>
      </c>
      <c r="H30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30" s="1422" t="n">
        <v>46265</v>
      </c>
      <c r="J30" s="1423" t="n">
        <v>29</v>
      </c>
      <c r="K30" s="1423" t="n">
        <v>5</v>
      </c>
      <c r="L30" s="1423" t="n">
        <v>150</v>
      </c>
      <c r="M30" s="1423" t="n">
        <v>90</v>
      </c>
      <c r="N30" s="1423" t="str">
        <v>روان‌شناسی رشد کرین</v>
      </c>
      <c r="O30" s="1423" t="str">
        <v>آسیب‌شناسی روانی</v>
      </c>
      <c r="P30" s="1423" t="str">
        <v>U143</v>
      </c>
      <c r="Q30" s="1423" t="str">
        <v>U025</v>
      </c>
      <c r="R30" s="1423" t="n">
        <v>20</v>
      </c>
      <c r="S30" s="1423" t="n">
        <v>6</v>
      </c>
      <c r="T30" s="1423" t="n">
        <v>112</v>
      </c>
      <c r="U30" s="1423" t="n">
        <v>30</v>
      </c>
      <c r="V30" s="1423" t="n">
        <v>15</v>
      </c>
      <c r="W30" s="1423" t="n">
        <v>32</v>
      </c>
      <c r="X30" s="1423" t="n">
        <v>36</v>
      </c>
      <c r="Y30" s="1423" t="n">
        <v>0</v>
      </c>
      <c r="Z30" s="1423" t="n">
        <v>7</v>
      </c>
      <c r="AA30" s="1423" t="n">
        <v>10</v>
      </c>
      <c r="AB30" s="1423" t="n">
        <f>IF(G30="انجام‌شده",1,IF(G30="نیمه‌انجام",0.5,0))</f>
        <v>0</v>
      </c>
      <c r="AC30" s="1423" t="str">
        <v>خیر</v>
      </c>
      <c r="AD30" s="1423" t="n">
        <v>2</v>
      </c>
      <c r="AE30" s="1423" t="n">
        <f>IF(OR(AG30&lt;&gt;240,AD30&gt;2,AND(AC30="بله",OR(L30&lt;&gt;150,M30&lt;&gt;90))),1,0)</f>
        <v>0</v>
      </c>
      <c r="AF30" s="1423" t="str">
        <f>IF(AE30=0,"معتبر","نیازمند بررسی")</f>
        <v>معتبر</v>
      </c>
      <c r="AG30" s="1423" t="n">
        <v>240</v>
      </c>
      <c r="AH30" s="1423" t="n">
        <v>68</v>
      </c>
      <c r="AI30" s="1423" t="n">
        <v>26</v>
      </c>
      <c r="AJ30" s="1423" t="n">
        <v>17</v>
      </c>
      <c r="AK30" s="1423" t="n">
        <v>150</v>
      </c>
      <c r="AL30" s="1423" t="n">
        <v>90</v>
      </c>
      <c r="AM30" s="1423" t="n">
        <v>15</v>
      </c>
    </row>
    <row r="31" ht="96" customHeight="1">
      <c r="A31" s="652" t="str">
        <v>۱۴۰۵/۰۶/۱۰</v>
      </c>
      <c r="B31" s="290" t="str">
        <v>سه‌شنبه</v>
      </c>
      <c r="C31" s="281" t="str">
        <v>[۱۵۰ دقیقه | آسیب‌شناسی روانی] مطالعه فصل ۶: اختلالات اضطرابی، ص ۳۱۱ تا ۳۳۰ (U026)، ۸۷ دقیقه + بازیابیِ بسته‌کتاب همان‌جلسه، ۲۰ دقیقه + بازخورد و اصلاح، ۱۰ دقیقه + مرور D+1/D+3/D+7/D+28 برای U003، U020 و ۳ واحد دیگر، ۵ دقیقه + آزمونک ۷ سؤالی و تحلیل کامل، ۲۸ دقیقه</v>
      </c>
      <c r="D31" s="281" t="str">
        <v>[۹۰ دقیقه | نظریه‌های روان‌درمانی پروچاسکا] مطالعه فصل ۸: درمان‌های مواجهه‌سازی، ص ۳۶۴ تا ۳۷۱ (U092)، ۲۵ دقیقه + بازیابیِ بسته‌کتاب همان‌جلسه، ۱۰ دقیقه + بازخورد و اصلاح، ۵ دقیقه + مرور D+1/D+3/D+7/D+14/D+28 برای U065، U079، U085، U089 و ۲ واحد دیگر، ۱۰ دقیقه + آزمونک ۱۰ سؤالی و تحلیل کامل، ۴۰ دقیقه</v>
      </c>
      <c r="E3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1" s="678" t="n">
        <v>17</v>
      </c>
      <c r="G31" s="290" t="str">
        <v>انجام‌نشده</v>
      </c>
      <c r="H31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31" s="1422" t="n">
        <v>46266</v>
      </c>
      <c r="J31" s="1423" t="n">
        <v>30</v>
      </c>
      <c r="K31" s="1423" t="n">
        <v>5</v>
      </c>
      <c r="L31" s="1423" t="n">
        <v>150</v>
      </c>
      <c r="M31" s="1423" t="n">
        <v>90</v>
      </c>
      <c r="N31" s="1423" t="str">
        <v>آسیب‌شناسی روانی</v>
      </c>
      <c r="O31" s="1423" t="str">
        <v>نظریه‌های روان‌درمانی پروچاسکا</v>
      </c>
      <c r="P31" s="1423" t="str">
        <v>U026</v>
      </c>
      <c r="Q31" s="1423" t="str">
        <v>U092</v>
      </c>
      <c r="R31" s="1423" t="n">
        <v>20</v>
      </c>
      <c r="S31" s="1423" t="n">
        <v>8</v>
      </c>
      <c r="T31" s="1423" t="n">
        <v>112</v>
      </c>
      <c r="U31" s="1423" t="n">
        <v>30</v>
      </c>
      <c r="V31" s="1423" t="n">
        <v>15</v>
      </c>
      <c r="W31" s="1423" t="n">
        <v>32</v>
      </c>
      <c r="X31" s="1423" t="n">
        <v>36</v>
      </c>
      <c r="Y31" s="1423" t="n">
        <v>0</v>
      </c>
      <c r="Z31" s="1423" t="n">
        <v>7</v>
      </c>
      <c r="AA31" s="1423" t="n">
        <v>10</v>
      </c>
      <c r="AB31" s="1423" t="n">
        <f>IF(G31="انجام‌شده",1,IF(G31="نیمه‌انجام",0.5,0))</f>
        <v>0</v>
      </c>
      <c r="AC31" s="1423" t="str">
        <v>خیر</v>
      </c>
      <c r="AD31" s="1423" t="n">
        <v>2</v>
      </c>
      <c r="AE31" s="1423" t="n">
        <f>IF(OR(AG31&lt;&gt;240,AD31&gt;2,AND(AC31="بله",OR(L31&lt;&gt;150,M31&lt;&gt;90))),1,0)</f>
        <v>0</v>
      </c>
      <c r="AF31" s="1423" t="str">
        <f>IF(AE31=0,"معتبر","نیازمند بررسی")</f>
        <v>معتبر</v>
      </c>
      <c r="AG31" s="1423" t="n">
        <v>240</v>
      </c>
      <c r="AH31" s="1423" t="n">
        <v>68</v>
      </c>
      <c r="AI31" s="1423" t="n">
        <v>28</v>
      </c>
      <c r="AJ31" s="1423" t="n">
        <v>17</v>
      </c>
      <c r="AK31" s="1423" t="n">
        <v>150</v>
      </c>
      <c r="AL31" s="1423" t="n">
        <v>90</v>
      </c>
      <c r="AM31" s="1423" t="n">
        <v>15</v>
      </c>
    </row>
    <row r="32" ht="96" customHeight="1">
      <c r="A32" s="648" t="str">
        <v>۱۴۰۵/۰۶/۱۱</v>
      </c>
      <c r="B32" s="378" t="str">
        <v>چهارشنبه</v>
      </c>
      <c r="C32" s="367" t="str">
        <v>[۱۵۰ دقیقه | روان‌شناسی رشد کرین] مطالعه فصل ۶: نظریه رشدی ـ شناختی پیاژه، ص ۲۲۶ تا ۲۴۵ (U144)، ۸۷ دقیقه + بازیابیِ بسته‌کتاب همان‌جلسه، ۲۰ دقیقه + بازخورد و اصلاح، ۱۰ دقیقه + مرور D+1/D+3/D+7/D+14 برای U133، U134 و ۷ واحد دیگر، ۵ دقیقه + آزمونک ۷ سؤالی و تحلیل کامل، ۲۸ دقیقه</v>
      </c>
      <c r="D32" s="367" t="str">
        <v>[۹۰ دقیقه | نظریه‌های روان‌درمانی پروچاسکا] مطالعه فصل ۸: درمان‌های مواجهه‌سازی، ص ۳۷۲ تا ۳۷۹ (U093)، ۲۵ دقیقه + بازیابیِ بسته‌کتاب همان‌جلسه، ۱۰ دقیقه + بازخورد و اصلاح، ۵ دقیقه + مرور D+1/D+3/D+7/D+14/D+28 برای U066، U080، U086، U090 و ۲ واحد دیگر، ۱۰ دقیقه + آزمونک ۱۰ سؤالی و تحلیل کامل، ۴۰ دقیقه</v>
      </c>
      <c r="E3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2" s="678" t="n">
        <v>17</v>
      </c>
      <c r="G32" s="378" t="str">
        <v>انجام‌نشده</v>
      </c>
      <c r="H32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32" s="1422" t="n">
        <v>46267</v>
      </c>
      <c r="J32" s="1423" t="n">
        <v>31</v>
      </c>
      <c r="K32" s="1423" t="n">
        <v>5</v>
      </c>
      <c r="L32" s="1423" t="n">
        <v>150</v>
      </c>
      <c r="M32" s="1423" t="n">
        <v>90</v>
      </c>
      <c r="N32" s="1423" t="str">
        <v>روان‌شناسی رشد کرین</v>
      </c>
      <c r="O32" s="1423" t="str">
        <v>نظریه‌های روان‌درمانی پروچاسکا</v>
      </c>
      <c r="P32" s="1423" t="str">
        <v>U144</v>
      </c>
      <c r="Q32" s="1423" t="str">
        <v>U093</v>
      </c>
      <c r="R32" s="1423" t="n">
        <v>20</v>
      </c>
      <c r="S32" s="1423" t="n">
        <v>8</v>
      </c>
      <c r="T32" s="1423" t="n">
        <v>112</v>
      </c>
      <c r="U32" s="1423" t="n">
        <v>30</v>
      </c>
      <c r="V32" s="1423" t="n">
        <v>15</v>
      </c>
      <c r="W32" s="1423" t="n">
        <v>32</v>
      </c>
      <c r="X32" s="1423" t="n">
        <v>36</v>
      </c>
      <c r="Y32" s="1423" t="n">
        <v>0</v>
      </c>
      <c r="Z32" s="1423" t="n">
        <v>7</v>
      </c>
      <c r="AA32" s="1423" t="n">
        <v>10</v>
      </c>
      <c r="AB32" s="1423" t="n">
        <f>IF(G32="انجام‌شده",1,IF(G32="نیمه‌انجام",0.5,0))</f>
        <v>0</v>
      </c>
      <c r="AC32" s="1423" t="str">
        <v>خیر</v>
      </c>
      <c r="AD32" s="1423" t="n">
        <v>2</v>
      </c>
      <c r="AE32" s="1423" t="n">
        <f>IF(OR(AG32&lt;&gt;240,AD32&gt;2,AND(AC32="بله",OR(L32&lt;&gt;150,M32&lt;&gt;90))),1,0)</f>
        <v>0</v>
      </c>
      <c r="AF32" s="1423" t="str">
        <f>IF(AE32=0,"معتبر","نیازمند بررسی")</f>
        <v>معتبر</v>
      </c>
      <c r="AG32" s="1423" t="n">
        <v>240</v>
      </c>
      <c r="AH32" s="1423" t="n">
        <v>68</v>
      </c>
      <c r="AI32" s="1423" t="n">
        <v>28</v>
      </c>
      <c r="AJ32" s="1423" t="n">
        <v>17</v>
      </c>
      <c r="AK32" s="1423" t="n">
        <v>150</v>
      </c>
      <c r="AL32" s="1423" t="n">
        <v>90</v>
      </c>
      <c r="AM32" s="1423" t="n">
        <v>15</v>
      </c>
    </row>
    <row r="33" ht="96" customHeight="1">
      <c r="A33" s="652" t="str">
        <v>۱۴۰۵/۰۶/۱۲</v>
      </c>
      <c r="B33" s="290" t="str">
        <v>پنجشنبه</v>
      </c>
      <c r="C33" s="281" t="str">
        <v>[۱۵۰ دقیقه | آسیب‌شناسی روانی] مطالعه فصل ۶: اختلالات اضطرابی، ص ۳۳۱ تا ۳۵۰ (U027)، ۸۷ دقیقه + بازیابیِ بسته‌کتاب همان‌جلسه، ۲۰ دقیقه + بازخورد و اصلاح، ۱۰ دقیقه + مرور D+1/D+3/D+7/D+14/D+28 برای U004، U005 و ۵ واحد دیگر، ۵ دقیقه + آزمونک ۷ سؤالی و تحلیل کامل، ۲۸ دقیقه</v>
      </c>
      <c r="D33" s="281" t="str">
        <v>[۹۰ دقیقه | نظریه‌های روان‌درمانی پروچاسکا] مطالعه فصل ۸: درمان‌های مواجهه‌سازی، ص ۳۸۰ تا ۳۸۰ (U094)؛ فصل ۹: درمان‌های رفتاری، ص ۳۸۱ تا ۳۸۷ (U095)، ۲۵ دقیقه + بازیابیِ بسته‌کتاب همان‌جلسه، ۱۰ دقیقه + بازخورد و اصلاح، ۵ دقیقه + مرور D+1/D+7/D+14/D+28 برای U067، U068، U081، U087 و ۲ واحد دیگر، ۱۰ دقیقه + آزمونک ۱۰ سؤالی و تحلیل کامل، ۴۰ دقیقه</v>
      </c>
      <c r="E3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3" s="678" t="n">
        <v>17</v>
      </c>
      <c r="G33" s="290" t="str">
        <v>انجام‌نشده</v>
      </c>
      <c r="H33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33" s="1422" t="n">
        <v>46268</v>
      </c>
      <c r="J33" s="1423" t="n">
        <v>32</v>
      </c>
      <c r="K33" s="1423" t="n">
        <v>5</v>
      </c>
      <c r="L33" s="1423" t="n">
        <v>150</v>
      </c>
      <c r="M33" s="1423" t="n">
        <v>90</v>
      </c>
      <c r="N33" s="1423" t="str">
        <v>آسیب‌شناسی روانی</v>
      </c>
      <c r="O33" s="1423" t="str">
        <v>نظریه‌های روان‌درمانی پروچاسکا</v>
      </c>
      <c r="P33" s="1423" t="str">
        <v>U027</v>
      </c>
      <c r="Q33" s="1423" t="str">
        <v>U094، U095</v>
      </c>
      <c r="R33" s="1423" t="n">
        <v>20</v>
      </c>
      <c r="S33" s="1423" t="n">
        <v>8</v>
      </c>
      <c r="T33" s="1423" t="n">
        <v>112</v>
      </c>
      <c r="U33" s="1423" t="n">
        <v>30</v>
      </c>
      <c r="V33" s="1423" t="n">
        <v>15</v>
      </c>
      <c r="W33" s="1423" t="n">
        <v>32</v>
      </c>
      <c r="X33" s="1423" t="n">
        <v>36</v>
      </c>
      <c r="Y33" s="1423" t="n">
        <v>0</v>
      </c>
      <c r="Z33" s="1423" t="n">
        <v>7</v>
      </c>
      <c r="AA33" s="1423" t="n">
        <v>10</v>
      </c>
      <c r="AB33" s="1423" t="n">
        <f>IF(G33="انجام‌شده",1,IF(G33="نیمه‌انجام",0.5,0))</f>
        <v>0</v>
      </c>
      <c r="AC33" s="1423" t="str">
        <v>خیر</v>
      </c>
      <c r="AD33" s="1423" t="n">
        <v>2</v>
      </c>
      <c r="AE33" s="1423" t="n">
        <f>IF(OR(AG33&lt;&gt;240,AD33&gt;2,AND(AC33="بله",OR(L33&lt;&gt;150,M33&lt;&gt;90))),1,0)</f>
        <v>0</v>
      </c>
      <c r="AF33" s="1423" t="str">
        <f>IF(AE33=0,"معتبر","نیازمند بررسی")</f>
        <v>معتبر</v>
      </c>
      <c r="AG33" s="1423" t="n">
        <v>240</v>
      </c>
      <c r="AH33" s="1423" t="n">
        <v>68</v>
      </c>
      <c r="AI33" s="1423" t="n">
        <v>28</v>
      </c>
      <c r="AJ33" s="1423" t="n">
        <v>17</v>
      </c>
      <c r="AK33" s="1423" t="n">
        <v>150</v>
      </c>
      <c r="AL33" s="1423" t="n">
        <v>90</v>
      </c>
      <c r="AM33" s="1423" t="n">
        <v>15</v>
      </c>
    </row>
    <row r="34" ht="96" customHeight="1">
      <c r="A34" s="648" t="str">
        <v>۱۴۰۵/۰۶/۱۳</v>
      </c>
      <c r="B34" s="378" t="str">
        <v>جمعه</v>
      </c>
      <c r="C34" s="367" t="str">
        <v>[۱۵۰ دقیقه | نظریه‌های روان‌درمانی پروچاسکا] مطالعه فصل ۹: درمان‌های رفتاری، ص ۳۸۸ تا ۴۱۵ (U096)، ۸۷ دقیقه + بازیابیِ بسته‌کتاب همان‌جلسه، ۲۰ دقیقه + بازخورد و اصلاح، ۱۰ دقیقه + مرور D+1/D+3/D+7/D+14 برای U082، U083 و ۴ واحد دیگر، ۵ دقیقه + آزمونک ۷ سؤالی و تحلیل کامل، ۲۸ دقیقه</v>
      </c>
      <c r="D34" s="367" t="str">
        <v>ایستگاه جبرانی و تثبیت — [۹۰ دقیقه | نظریه‌های روان‌درمانی پروچاسکا] اولویت: بالاترین تکلیف ناتمام هفته؛ جایگزین ازپیش‌تعریف‌شده: مرور D+1/D+3/D+7/D+14 برای U082، U083، U089، U092، U094، U095 و اصلاح دفتر خطا، ۵۰ دقیقه + آزمون هدفمند ۱۰ سؤالی و تحلیل کامل، ۴۰ دقیقه</v>
      </c>
      <c r="E34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34" s="678" t="n">
        <v>17</v>
      </c>
      <c r="G34" s="378" t="str">
        <v>انجام‌نشده</v>
      </c>
      <c r="H34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34" s="1422" t="n">
        <v>46269</v>
      </c>
      <c r="J34" s="1423" t="n">
        <v>33</v>
      </c>
      <c r="K34" s="1423" t="n">
        <v>5</v>
      </c>
      <c r="L34" s="1423" t="n">
        <v>150</v>
      </c>
      <c r="M34" s="1423" t="n">
        <v>90</v>
      </c>
      <c r="N34" s="1423" t="str">
        <v>نظریه‌های روان‌درمانی پروچاسکا</v>
      </c>
      <c r="O34" s="1423" t="str">
        <v>نظریه‌های روان‌درمانی پروچاسکا</v>
      </c>
      <c r="P34" s="1423" t="str">
        <v>U096</v>
      </c>
      <c r="Q34" s="1423" t="str">
        <v>ایستگاه جبرانی</v>
      </c>
      <c r="R34" s="1423" t="n">
        <v>28</v>
      </c>
      <c r="S34" s="1423" t="n">
        <v>0</v>
      </c>
      <c r="T34" s="1423" t="n">
        <v>87</v>
      </c>
      <c r="U34" s="1423" t="n">
        <v>20</v>
      </c>
      <c r="V34" s="1423" t="n">
        <v>55</v>
      </c>
      <c r="W34" s="1423" t="n">
        <v>32</v>
      </c>
      <c r="X34" s="1423" t="n">
        <v>36</v>
      </c>
      <c r="Y34" s="1423" t="n">
        <v>90</v>
      </c>
      <c r="Z34" s="1423" t="n">
        <v>7</v>
      </c>
      <c r="AA34" s="1423" t="n">
        <v>10</v>
      </c>
      <c r="AB34" s="1423" t="n">
        <f>IF(G34="انجام‌شده",1,IF(G34="نیمه‌انجام",0.5,0))</f>
        <v>0</v>
      </c>
      <c r="AC34" s="1423" t="str">
        <v>بله</v>
      </c>
      <c r="AD34" s="1423" t="n">
        <v>1</v>
      </c>
      <c r="AE34" s="1423" t="n">
        <f>IF(OR(AG34&lt;&gt;240,AD34&gt;2,AND(AC34="بله",OR(L34&lt;&gt;150,M34&lt;&gt;90))),1,0)</f>
        <v>0</v>
      </c>
      <c r="AF34" s="1423" t="str">
        <f>IF(AE34=0,"معتبر","نیازمند بررسی")</f>
        <v>معتبر</v>
      </c>
      <c r="AG34" s="1423" t="n">
        <v>240</v>
      </c>
      <c r="AH34" s="1423" t="n">
        <v>68</v>
      </c>
      <c r="AI34" s="1423" t="n">
        <v>28</v>
      </c>
      <c r="AJ34" s="1423" t="n">
        <v>17</v>
      </c>
      <c r="AK34" s="1423" t="n">
        <v>150</v>
      </c>
      <c r="AL34" s="1423" t="n">
        <v>90</v>
      </c>
      <c r="AM34" s="1423" t="n">
        <v>10</v>
      </c>
    </row>
    <row r="35" ht="96" customHeight="1">
      <c r="A35" s="652" t="str">
        <v>۱۴۰۵/۰۶/۱۴</v>
      </c>
      <c r="B35" s="290" t="str">
        <v>شنبه</v>
      </c>
      <c r="C35" s="281" t="str">
        <v>[۱۵۰ دقیقه | روان‌شناسی رشد کرین] مطالعه فصل ۶: نظریه رشدی ـ شناختی پیاژه، ص ۲۴۶ تا ۲۴۶ (U145)؛ فصل ۷: مراحل رشد اخلاقی کلبرگ، ص ۲۴۷ تا ۲۶۵ (U146)، ۸۷ دقیقه + بازیابیِ بسته‌کتاب همان‌جلسه، ۲۰ دقیقه + بازخورد و اصلاح، ۱۰ دقیقه + مرور D+3/D+7/D+14 برای U136، U141 و ۲ واحد دیگر، ۵ دقیقه + آزمونک ۷ سؤالی و تحلیل کامل، ۲۸ دقیقه</v>
      </c>
      <c r="D35" s="281" t="str">
        <v>[۹۰ دقیقه | آسیب‌شناسی روانی] مطالعه فصل ۶: اختلالات اضطرابی، ص ۳۵۱ تا ۳۵۶ (U028)، ۲۵ دقیقه + بازیابیِ بسته‌کتاب همان‌جلسه، ۱۰ دقیقه + بازخورد و اصلاح، ۵ دقیقه + مرور D+1/D+3/D+7/D+14/D+28 برای U006، U007، U008، U018 و ۳ واحد دیگر، ۱۰ دقیقه + آزمونک ۱۰ سؤالی و تحلیل کامل، ۴۰ دقیقه</v>
      </c>
      <c r="E3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5" s="678" t="n">
        <v>17</v>
      </c>
      <c r="G35" s="290" t="str">
        <v>انجام‌نشده</v>
      </c>
      <c r="H35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35" s="1422" t="n">
        <v>46270</v>
      </c>
      <c r="J35" s="1423" t="n">
        <v>34</v>
      </c>
      <c r="K35" s="1423" t="n">
        <v>6</v>
      </c>
      <c r="L35" s="1423" t="n">
        <v>150</v>
      </c>
      <c r="M35" s="1423" t="n">
        <v>90</v>
      </c>
      <c r="N35" s="1423" t="str">
        <v>روان‌شناسی رشد کرین</v>
      </c>
      <c r="O35" s="1423" t="str">
        <v>آسیب‌شناسی روانی</v>
      </c>
      <c r="P35" s="1423" t="str">
        <v>U145، U146</v>
      </c>
      <c r="Q35" s="1423" t="str">
        <v>U028</v>
      </c>
      <c r="R35" s="1423" t="n">
        <v>20</v>
      </c>
      <c r="S35" s="1423" t="n">
        <v>6</v>
      </c>
      <c r="T35" s="1423" t="n">
        <v>112</v>
      </c>
      <c r="U35" s="1423" t="n">
        <v>30</v>
      </c>
      <c r="V35" s="1423" t="n">
        <v>15</v>
      </c>
      <c r="W35" s="1423" t="n">
        <v>32</v>
      </c>
      <c r="X35" s="1423" t="n">
        <v>36</v>
      </c>
      <c r="Y35" s="1423" t="n">
        <v>0</v>
      </c>
      <c r="Z35" s="1423" t="n">
        <v>7</v>
      </c>
      <c r="AA35" s="1423" t="n">
        <v>10</v>
      </c>
      <c r="AB35" s="1423" t="n">
        <f>IF(G35="انجام‌شده",1,IF(G35="نیمه‌انجام",0.5,0))</f>
        <v>0</v>
      </c>
      <c r="AC35" s="1423" t="str">
        <v>خیر</v>
      </c>
      <c r="AD35" s="1423" t="n">
        <v>2</v>
      </c>
      <c r="AE35" s="1423" t="n">
        <f>IF(OR(AG35&lt;&gt;240,AD35&gt;2,AND(AC35="بله",OR(L35&lt;&gt;150,M35&lt;&gt;90))),1,0)</f>
        <v>0</v>
      </c>
      <c r="AF35" s="1423" t="str">
        <f>IF(AE35=0,"معتبر","نیازمند بررسی")</f>
        <v>معتبر</v>
      </c>
      <c r="AG35" s="1423" t="n">
        <v>240</v>
      </c>
      <c r="AH35" s="1423" t="n">
        <v>68</v>
      </c>
      <c r="AI35" s="1423" t="n">
        <v>26</v>
      </c>
      <c r="AJ35" s="1423" t="n">
        <v>17</v>
      </c>
      <c r="AK35" s="1423" t="n">
        <v>150</v>
      </c>
      <c r="AL35" s="1423" t="n">
        <v>90</v>
      </c>
      <c r="AM35" s="1423" t="n">
        <v>15</v>
      </c>
    </row>
    <row r="36" ht="96" customHeight="1">
      <c r="A36" s="648" t="str">
        <v>۱۴۰۵/۰۶/۱۵</v>
      </c>
      <c r="B36" s="378" t="str">
        <v>یکشنبه</v>
      </c>
      <c r="C36" s="367" t="str">
        <v>[۱۵۰ دقیقه | نظریه‌های روان‌درمانی پروچاسکا] مطالعه فصل ۹: درمان‌های رفتاری، ص ۴۱۶ تا ۴۴۳ (U097)، ۸۷ دقیقه + بازیابیِ بسته‌کتاب همان‌جلسه، ۲۰ دقیقه + بازخورد و اصلاح، ۱۰ دقیقه + مرور D+1/D+3/D+7/D+14/D+28 برای U069، U070 و ۷ واحد دیگر، ۵ دقیقه + آزمونک ۷ سؤالی و تحلیل کامل، ۲۸ دقیقه</v>
      </c>
      <c r="D36" s="367" t="str">
        <v>[۹۰ دقیقه | آسیب‌شناسی روانی] مطالعه فصل ۷: وسواس فکری ـ عملی و اختلالات مرتبط، ص ۳۵۷ تا ۳۶۲ (U029)، ۲۵ دقیقه + بازیابیِ بسته‌کتاب همان‌جلسه، ۱۰ دقیقه + بازخورد و اصلاح، ۵ دقیقه + مرور D+1/D+3/D+7/D+28 برای U009، U024، U027، U028، ۱۰ دقیقه + آزمونک ۱۰ سؤالی و تحلیل کامل، ۴۰ دقیقه</v>
      </c>
      <c r="E3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6" s="678" t="n">
        <v>17</v>
      </c>
      <c r="G36" s="378" t="str">
        <v>انجام‌نشده</v>
      </c>
      <c r="H36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36" s="1422" t="n">
        <v>46271</v>
      </c>
      <c r="J36" s="1423" t="n">
        <v>35</v>
      </c>
      <c r="K36" s="1423" t="n">
        <v>6</v>
      </c>
      <c r="L36" s="1423" t="n">
        <v>150</v>
      </c>
      <c r="M36" s="1423" t="n">
        <v>90</v>
      </c>
      <c r="N36" s="1423" t="str">
        <v>نظریه‌های روان‌درمانی پروچاسکا</v>
      </c>
      <c r="O36" s="1423" t="str">
        <v>آسیب‌شناسی روانی</v>
      </c>
      <c r="P36" s="1423" t="str">
        <v>U097</v>
      </c>
      <c r="Q36" s="1423" t="str">
        <v>U029</v>
      </c>
      <c r="R36" s="1423" t="n">
        <v>28</v>
      </c>
      <c r="S36" s="1423" t="n">
        <v>6</v>
      </c>
      <c r="T36" s="1423" t="n">
        <v>112</v>
      </c>
      <c r="U36" s="1423" t="n">
        <v>30</v>
      </c>
      <c r="V36" s="1423" t="n">
        <v>15</v>
      </c>
      <c r="W36" s="1423" t="n">
        <v>32</v>
      </c>
      <c r="X36" s="1423" t="n">
        <v>36</v>
      </c>
      <c r="Y36" s="1423" t="n">
        <v>0</v>
      </c>
      <c r="Z36" s="1423" t="n">
        <v>7</v>
      </c>
      <c r="AA36" s="1423" t="n">
        <v>10</v>
      </c>
      <c r="AB36" s="1423" t="n">
        <f>IF(G36="انجام‌شده",1,IF(G36="نیمه‌انجام",0.5,0))</f>
        <v>0</v>
      </c>
      <c r="AC36" s="1423" t="str">
        <v>خیر</v>
      </c>
      <c r="AD36" s="1423" t="n">
        <v>2</v>
      </c>
      <c r="AE36" s="1423" t="n">
        <f>IF(OR(AG36&lt;&gt;240,AD36&gt;2,AND(AC36="بله",OR(L36&lt;&gt;150,M36&lt;&gt;90))),1,0)</f>
        <v>0</v>
      </c>
      <c r="AF36" s="1423" t="str">
        <f>IF(AE36=0,"معتبر","نیازمند بررسی")</f>
        <v>معتبر</v>
      </c>
      <c r="AG36" s="1423" t="n">
        <v>240</v>
      </c>
      <c r="AH36" s="1423" t="n">
        <v>68</v>
      </c>
      <c r="AI36" s="1423" t="n">
        <v>34</v>
      </c>
      <c r="AJ36" s="1423" t="n">
        <v>17</v>
      </c>
      <c r="AK36" s="1423" t="n">
        <v>150</v>
      </c>
      <c r="AL36" s="1423" t="n">
        <v>90</v>
      </c>
      <c r="AM36" s="1423" t="n">
        <v>15</v>
      </c>
    </row>
    <row r="37" ht="96" customHeight="1">
      <c r="A37" s="652" t="str">
        <v>۱۴۰۵/۰۶/۱۶</v>
      </c>
      <c r="B37" s="290" t="str">
        <v>دوشنبه</v>
      </c>
      <c r="C37" s="281" t="str">
        <v>[۱۵۰ دقیقه | روان‌شناسی رشد کرین] مطالعه فصل ۷: مراحل رشد اخلاقی کلبرگ، ص ۲۶۶ تا ۲۸۲ (U147)؛ فصل ۸: نظریه یادگیری پاولف، واتسون و اسکینر، ص ۲۸۳ تا ۲۸۵ (U148)، ۸۷ دقیقه + بازیابیِ بسته‌کتاب همان‌جلسه، ۲۰ دقیقه + بازخورد و اصلاح، ۱۰ دقیقه + مرور D+1/D+7/D+14 برای U137، U138 و ۴ واحد دیگر، ۵ دقیقه + آزمونک ۷ سؤالی و تحلیل کامل، ۲۸ دقیقه</v>
      </c>
      <c r="D37" s="281" t="str">
        <v>[۹۰ دقیقه | آسیب‌شناسی روانی] مطالعه فصل ۷: وسواس فکری ـ عملی و اختلالات مرتبط، ص ۳۶۳ تا ۳۶۸ (U030)، ۲۵ دقیقه + بازیابیِ بسته‌کتاب همان‌جلسه، ۱۰ دقیقه + بازخورد و اصلاح، ۵ دقیقه + مرور D+1/D+7/D+14/D+28 برای U010، U019، U025، U029، ۱۰ دقیقه + آزمونک ۱۰ سؤالی و تحلیل کامل، ۴۰ دقیقه</v>
      </c>
      <c r="E3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7" s="678" t="n">
        <v>17</v>
      </c>
      <c r="G37" s="290" t="str">
        <v>انجام‌نشده</v>
      </c>
      <c r="H37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37" s="1422" t="n">
        <v>46272</v>
      </c>
      <c r="J37" s="1423" t="n">
        <v>36</v>
      </c>
      <c r="K37" s="1423" t="n">
        <v>6</v>
      </c>
      <c r="L37" s="1423" t="n">
        <v>150</v>
      </c>
      <c r="M37" s="1423" t="n">
        <v>90</v>
      </c>
      <c r="N37" s="1423" t="str">
        <v>روان‌شناسی رشد کرین</v>
      </c>
      <c r="O37" s="1423" t="str">
        <v>آسیب‌شناسی روانی</v>
      </c>
      <c r="P37" s="1423" t="str">
        <v>U147، U148</v>
      </c>
      <c r="Q37" s="1423" t="str">
        <v>U030</v>
      </c>
      <c r="R37" s="1423" t="n">
        <v>20</v>
      </c>
      <c r="S37" s="1423" t="n">
        <v>6</v>
      </c>
      <c r="T37" s="1423" t="n">
        <v>112</v>
      </c>
      <c r="U37" s="1423" t="n">
        <v>30</v>
      </c>
      <c r="V37" s="1423" t="n">
        <v>15</v>
      </c>
      <c r="W37" s="1423" t="n">
        <v>32</v>
      </c>
      <c r="X37" s="1423" t="n">
        <v>36</v>
      </c>
      <c r="Y37" s="1423" t="n">
        <v>0</v>
      </c>
      <c r="Z37" s="1423" t="n">
        <v>7</v>
      </c>
      <c r="AA37" s="1423" t="n">
        <v>10</v>
      </c>
      <c r="AB37" s="1423" t="n">
        <f>IF(G37="انجام‌شده",1,IF(G37="نیمه‌انجام",0.5,0))</f>
        <v>0</v>
      </c>
      <c r="AC37" s="1423" t="str">
        <v>خیر</v>
      </c>
      <c r="AD37" s="1423" t="n">
        <v>2</v>
      </c>
      <c r="AE37" s="1423" t="n">
        <f>IF(OR(AG37&lt;&gt;240,AD37&gt;2,AND(AC37="بله",OR(L37&lt;&gt;150,M37&lt;&gt;90))),1,0)</f>
        <v>0</v>
      </c>
      <c r="AF37" s="1423" t="str">
        <f>IF(AE37=0,"معتبر","نیازمند بررسی")</f>
        <v>معتبر</v>
      </c>
      <c r="AG37" s="1423" t="n">
        <v>240</v>
      </c>
      <c r="AH37" s="1423" t="n">
        <v>68</v>
      </c>
      <c r="AI37" s="1423" t="n">
        <v>26</v>
      </c>
      <c r="AJ37" s="1423" t="n">
        <v>17</v>
      </c>
      <c r="AK37" s="1423" t="n">
        <v>150</v>
      </c>
      <c r="AL37" s="1423" t="n">
        <v>90</v>
      </c>
      <c r="AM37" s="1423" t="n">
        <v>15</v>
      </c>
    </row>
    <row r="38" ht="96" customHeight="1">
      <c r="A38" s="648" t="str">
        <v>۱۴۰۵/۰۶/۱۷</v>
      </c>
      <c r="B38" s="378" t="str">
        <v>سه‌شنبه</v>
      </c>
      <c r="C38" s="367" t="str">
        <v>[۱۵۰ دقیقه | آسیب‌شناسی روانی] مطالعه فصل ۷: وسواس فکری ـ عملی و اختلالات مرتبط، ص ۳۶۹ تا ۳۸۶ (U031)؛ فصل ۸: اختلالات ناشی از تروما و عوامل استرس‌زا، ص ۳۸۷ تا ۳۸۸ (U032)، ۸۷ دقیقه + بازیابیِ بسته‌کتاب همان‌جلسه، ۲۰ دقیقه + بازخورد و اصلاح، ۱۰ دقیقه + مرور D+1/D+3/D+7/D+14/D+28 برای U011، U012 و ۵ واحد دیگر، ۵ دقیقه + آزمونک ۷ سؤالی و تحلیل کامل، ۲۸ دقیقه</v>
      </c>
      <c r="D38" s="367" t="str">
        <v>[۹۰ دقیقه | نظریه‌های روان‌درمانی پروچاسکا] مطالعه فصل ۹: درمان‌های رفتاری، ص ۴۴۴ تا ۴۵۱ (U098)، ۲۵ دقیقه + بازیابیِ بسته‌کتاب همان‌جلسه، ۱۰ دقیقه + بازخورد و اصلاح، ۵ دقیقه + مرور D+1/D+3/D+7/D+14/D+28 برای U071، U072، U085، U092 و ۲ واحد دیگر، ۱۰ دقیقه + آزمونک ۱۰ سؤالی و تحلیل کامل، ۴۰ دقیقه</v>
      </c>
      <c r="E3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8" s="678" t="n">
        <v>17</v>
      </c>
      <c r="G38" s="378" t="str">
        <v>انجام‌نشده</v>
      </c>
      <c r="H38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38" s="1422" t="n">
        <v>46273</v>
      </c>
      <c r="J38" s="1423" t="n">
        <v>37</v>
      </c>
      <c r="K38" s="1423" t="n">
        <v>6</v>
      </c>
      <c r="L38" s="1423" t="n">
        <v>150</v>
      </c>
      <c r="M38" s="1423" t="n">
        <v>90</v>
      </c>
      <c r="N38" s="1423" t="str">
        <v>آسیب‌شناسی روانی</v>
      </c>
      <c r="O38" s="1423" t="str">
        <v>نظریه‌های روان‌درمانی پروچاسکا</v>
      </c>
      <c r="P38" s="1423" t="str">
        <v>U031، U032</v>
      </c>
      <c r="Q38" s="1423" t="str">
        <v>U098</v>
      </c>
      <c r="R38" s="1423" t="n">
        <v>20</v>
      </c>
      <c r="S38" s="1423" t="n">
        <v>8</v>
      </c>
      <c r="T38" s="1423" t="n">
        <v>112</v>
      </c>
      <c r="U38" s="1423" t="n">
        <v>30</v>
      </c>
      <c r="V38" s="1423" t="n">
        <v>15</v>
      </c>
      <c r="W38" s="1423" t="n">
        <v>32</v>
      </c>
      <c r="X38" s="1423" t="n">
        <v>36</v>
      </c>
      <c r="Y38" s="1423" t="n">
        <v>0</v>
      </c>
      <c r="Z38" s="1423" t="n">
        <v>7</v>
      </c>
      <c r="AA38" s="1423" t="n">
        <v>10</v>
      </c>
      <c r="AB38" s="1423" t="n">
        <f>IF(G38="انجام‌شده",1,IF(G38="نیمه‌انجام",0.5,0))</f>
        <v>0</v>
      </c>
      <c r="AC38" s="1423" t="str">
        <v>خیر</v>
      </c>
      <c r="AD38" s="1423" t="n">
        <v>2</v>
      </c>
      <c r="AE38" s="1423" t="n">
        <f>IF(OR(AG38&lt;&gt;240,AD38&gt;2,AND(AC38="بله",OR(L38&lt;&gt;150,M38&lt;&gt;90))),1,0)</f>
        <v>0</v>
      </c>
      <c r="AF38" s="1423" t="str">
        <f>IF(AE38=0,"معتبر","نیازمند بررسی")</f>
        <v>معتبر</v>
      </c>
      <c r="AG38" s="1423" t="n">
        <v>240</v>
      </c>
      <c r="AH38" s="1423" t="n">
        <v>68</v>
      </c>
      <c r="AI38" s="1423" t="n">
        <v>28</v>
      </c>
      <c r="AJ38" s="1423" t="n">
        <v>17</v>
      </c>
      <c r="AK38" s="1423" t="n">
        <v>150</v>
      </c>
      <c r="AL38" s="1423" t="n">
        <v>90</v>
      </c>
      <c r="AM38" s="1423" t="n">
        <v>15</v>
      </c>
    </row>
    <row r="39" ht="96" customHeight="1">
      <c r="A39" s="652" t="str">
        <v>۱۴۰۵/۰۶/۱۸</v>
      </c>
      <c r="B39" s="290" t="str">
        <v>چهارشنبه</v>
      </c>
      <c r="C39" s="281" t="str">
        <v>[۱۵۰ دقیقه | روان‌شناسی رشد کرین] مطالعه فصل ۸: نظریه یادگیری پاولف، واتسون و اسکینر، ص ۲۸۶ تا ۳۰۵ (U149)، ۸۷ دقیقه + بازیابیِ بسته‌کتاب همان‌جلسه، ۲۰ دقیقه + بازخورد و اصلاح، ۱۰ دقیقه + مرور D+1/D+3/D+7/D+14/D+28 برای U128، U129 و ۹ واحد دیگر، ۵ دقیقه + آزمونک ۷ سؤالی و تحلیل کامل، ۲۸ دقیقه</v>
      </c>
      <c r="D39" s="281" t="str">
        <v>[۹۰ دقیقه | نظریه‌های روان‌درمانی پروچاسکا] مطالعه فصل ۹: درمان‌های رفتاری، ص ۴۵۲ تا ۴۵۶ (U099)؛ فصل ۱۰: درمان‌های شناختی، ص ۴۵۷ تا ۴۵۹ (U100)، ۲۵ دقیقه + بازیابیِ بسته‌کتاب همان‌جلسه، ۱۰ دقیقه + بازخورد و اصلاح، ۵ دقیقه + مرور D+1/D+3/D+7/D+14/D+28 برای U073، U086، U093، U097 و ۱ واحد دیگر، ۱۰ دقیقه + آزمونک ۱۰ سؤالی و تحلیل کامل، ۴۰ دقیقه</v>
      </c>
      <c r="E3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9" s="678" t="n">
        <v>17</v>
      </c>
      <c r="G39" s="290" t="str">
        <v>انجام‌نشده</v>
      </c>
      <c r="H39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39" s="1422" t="n">
        <v>46274</v>
      </c>
      <c r="J39" s="1423" t="n">
        <v>38</v>
      </c>
      <c r="K39" s="1423" t="n">
        <v>6</v>
      </c>
      <c r="L39" s="1423" t="n">
        <v>150</v>
      </c>
      <c r="M39" s="1423" t="n">
        <v>90</v>
      </c>
      <c r="N39" s="1423" t="str">
        <v>روان‌شناسی رشد کرین</v>
      </c>
      <c r="O39" s="1423" t="str">
        <v>نظریه‌های روان‌درمانی پروچاسکا</v>
      </c>
      <c r="P39" s="1423" t="str">
        <v>U149</v>
      </c>
      <c r="Q39" s="1423" t="str">
        <v>U099، U100</v>
      </c>
      <c r="R39" s="1423" t="n">
        <v>20</v>
      </c>
      <c r="S39" s="1423" t="n">
        <v>8</v>
      </c>
      <c r="T39" s="1423" t="n">
        <v>112</v>
      </c>
      <c r="U39" s="1423" t="n">
        <v>30</v>
      </c>
      <c r="V39" s="1423" t="n">
        <v>15</v>
      </c>
      <c r="W39" s="1423" t="n">
        <v>32</v>
      </c>
      <c r="X39" s="1423" t="n">
        <v>36</v>
      </c>
      <c r="Y39" s="1423" t="n">
        <v>0</v>
      </c>
      <c r="Z39" s="1423" t="n">
        <v>7</v>
      </c>
      <c r="AA39" s="1423" t="n">
        <v>10</v>
      </c>
      <c r="AB39" s="1423" t="n">
        <f>IF(G39="انجام‌شده",1,IF(G39="نیمه‌انجام",0.5,0))</f>
        <v>0</v>
      </c>
      <c r="AC39" s="1423" t="str">
        <v>خیر</v>
      </c>
      <c r="AD39" s="1423" t="n">
        <v>2</v>
      </c>
      <c r="AE39" s="1423" t="n">
        <f>IF(OR(AG39&lt;&gt;240,AD39&gt;2,AND(AC39="بله",OR(L39&lt;&gt;150,M39&lt;&gt;90))),1,0)</f>
        <v>0</v>
      </c>
      <c r="AF39" s="1423" t="str">
        <f>IF(AE39=0,"معتبر","نیازمند بررسی")</f>
        <v>معتبر</v>
      </c>
      <c r="AG39" s="1423" t="n">
        <v>240</v>
      </c>
      <c r="AH39" s="1423" t="n">
        <v>68</v>
      </c>
      <c r="AI39" s="1423" t="n">
        <v>28</v>
      </c>
      <c r="AJ39" s="1423" t="n">
        <v>17</v>
      </c>
      <c r="AK39" s="1423" t="n">
        <v>150</v>
      </c>
      <c r="AL39" s="1423" t="n">
        <v>90</v>
      </c>
      <c r="AM39" s="1423" t="n">
        <v>15</v>
      </c>
    </row>
    <row r="40" ht="96" customHeight="1">
      <c r="A40" s="648" t="str">
        <v>۱۴۰۵/۰۶/۱۹</v>
      </c>
      <c r="B40" s="378" t="str">
        <v>پنجشنبه</v>
      </c>
      <c r="C40" s="367" t="str">
        <v>[۱۵۰ دقیقه | آسیب‌شناسی روانی] مطالعه فصل ۸: اختلالات ناشی از تروما و عوامل استرس‌زا، ص ۳۸۹ تا ۴۰۸ (U033)، ۸۷ دقیقه + بازیابیِ بسته‌کتاب همان‌جلسه، ۲۰ دقیقه + بازخورد و اصلاح، ۱۰ دقیقه + مرور D+1/D+3/D+7/D+14/D+28 برای U013، U014 و ۶ واحد دیگر، ۵ دقیقه + آزمونک ۷ سؤالی و تحلیل کامل، ۲۸ دقیقه</v>
      </c>
      <c r="D40" s="367" t="str">
        <v>[۹۰ دقیقه | نظریه‌های روان‌درمانی پروچاسکا] مطالعه فصل ۱۰: درمان‌های شناختی، ص ۴۶۰ تا ۴۶۷ (U101)، ۲۵ دقیقه + بازیابیِ بسته‌کتاب همان‌جلسه، ۱۰ دقیقه + بازخورد و اصلاح، ۵ دقیقه + مرور D+1/D+7/D+14/D+28 برای U074، U075، U087، U088 و ۴ واحد دیگر، ۱۰ دقیقه + آزمونک ۱۰ سؤالی و تحلیل کامل، ۴۰ دقیقه</v>
      </c>
      <c r="E4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0" s="678" t="n">
        <v>17</v>
      </c>
      <c r="G40" s="378" t="str">
        <v>انجام‌نشده</v>
      </c>
      <c r="H40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40" s="1422" t="n">
        <v>46275</v>
      </c>
      <c r="J40" s="1423" t="n">
        <v>39</v>
      </c>
      <c r="K40" s="1423" t="n">
        <v>6</v>
      </c>
      <c r="L40" s="1423" t="n">
        <v>150</v>
      </c>
      <c r="M40" s="1423" t="n">
        <v>90</v>
      </c>
      <c r="N40" s="1423" t="str">
        <v>آسیب‌شناسی روانی</v>
      </c>
      <c r="O40" s="1423" t="str">
        <v>نظریه‌های روان‌درمانی پروچاسکا</v>
      </c>
      <c r="P40" s="1423" t="str">
        <v>U033</v>
      </c>
      <c r="Q40" s="1423" t="str">
        <v>U101</v>
      </c>
      <c r="R40" s="1423" t="n">
        <v>20</v>
      </c>
      <c r="S40" s="1423" t="n">
        <v>8</v>
      </c>
      <c r="T40" s="1423" t="n">
        <v>112</v>
      </c>
      <c r="U40" s="1423" t="n">
        <v>30</v>
      </c>
      <c r="V40" s="1423" t="n">
        <v>15</v>
      </c>
      <c r="W40" s="1423" t="n">
        <v>32</v>
      </c>
      <c r="X40" s="1423" t="n">
        <v>36</v>
      </c>
      <c r="Y40" s="1423" t="n">
        <v>0</v>
      </c>
      <c r="Z40" s="1423" t="n">
        <v>7</v>
      </c>
      <c r="AA40" s="1423" t="n">
        <v>10</v>
      </c>
      <c r="AB40" s="1423" t="n">
        <f>IF(G40="انجام‌شده",1,IF(G40="نیمه‌انجام",0.5,0))</f>
        <v>0</v>
      </c>
      <c r="AC40" s="1423" t="str">
        <v>خیر</v>
      </c>
      <c r="AD40" s="1423" t="n">
        <v>2</v>
      </c>
      <c r="AE40" s="1423" t="n">
        <f>IF(OR(AG40&lt;&gt;240,AD40&gt;2,AND(AC40="بله",OR(L40&lt;&gt;150,M40&lt;&gt;90))),1,0)</f>
        <v>0</v>
      </c>
      <c r="AF40" s="1423" t="str">
        <f>IF(AE40=0,"معتبر","نیازمند بررسی")</f>
        <v>معتبر</v>
      </c>
      <c r="AG40" s="1423" t="n">
        <v>240</v>
      </c>
      <c r="AH40" s="1423" t="n">
        <v>68</v>
      </c>
      <c r="AI40" s="1423" t="n">
        <v>28</v>
      </c>
      <c r="AJ40" s="1423" t="n">
        <v>17</v>
      </c>
      <c r="AK40" s="1423" t="n">
        <v>150</v>
      </c>
      <c r="AL40" s="1423" t="n">
        <v>90</v>
      </c>
      <c r="AM40" s="1423" t="n">
        <v>15</v>
      </c>
    </row>
    <row r="41" ht="96" customHeight="1">
      <c r="A41" s="652" t="str">
        <v>۱۴۰۵/۰۶/۲۰</v>
      </c>
      <c r="B41" s="290" t="str">
        <v>جمعه</v>
      </c>
      <c r="C41" s="281" t="str">
        <v>[۱۵۰ دقیقه | نظریه‌های روان‌درمانی پروچاسکا] مطالعه فصل ۱۰: درمان‌های شناختی، ص ۴۶۸ تا ۴۹۵ (U102)، ۸۷ دقیقه + بازیابیِ بسته‌کتاب همان‌جلسه، ۲۰ دقیقه + بازخورد و اصلاح، ۱۰ دقیقه + مرور D+1/D+3/D+7/D+14/D+28 برای U076، U089 و ۳ واحد دیگر، ۵ دقیقه + آزمونک ۷ سؤالی و تحلیل کامل، ۲۸ دقیقه</v>
      </c>
      <c r="D41" s="281" t="str">
        <v>ایستگاه جبرانی و تثبیت — [۹۰ دقیقه | نظریه‌های روان‌درمانی پروچاسکا] اولویت: بالاترین تکلیف ناتمام هفته؛ جایگزین ازپیش‌تعریف‌شده: مرور D+1/D+3/D+7/D+14/D+28 برای U076، U089، U096، U098، U101 و اصلاح دفتر خطا، ۵۰ دقیقه + آزمون هدفمند ۱۰ سؤالی و تحلیل کامل، ۴۰ دقیقه</v>
      </c>
      <c r="E41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41" s="678" t="n">
        <v>17</v>
      </c>
      <c r="G41" s="290" t="str">
        <v>انجام‌نشده</v>
      </c>
      <c r="H41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41" s="1422" t="n">
        <v>46276</v>
      </c>
      <c r="J41" s="1423" t="n">
        <v>40</v>
      </c>
      <c r="K41" s="1423" t="n">
        <v>6</v>
      </c>
      <c r="L41" s="1423" t="n">
        <v>150</v>
      </c>
      <c r="M41" s="1423" t="n">
        <v>90</v>
      </c>
      <c r="N41" s="1423" t="str">
        <v>نظریه‌های روان‌درمانی پروچاسکا</v>
      </c>
      <c r="O41" s="1423" t="str">
        <v>نظریه‌های روان‌درمانی پروچاسکا</v>
      </c>
      <c r="P41" s="1423" t="str">
        <v>U102</v>
      </c>
      <c r="Q41" s="1423" t="str">
        <v>ایستگاه جبرانی</v>
      </c>
      <c r="R41" s="1423" t="n">
        <v>28</v>
      </c>
      <c r="S41" s="1423" t="n">
        <v>0</v>
      </c>
      <c r="T41" s="1423" t="n">
        <v>87</v>
      </c>
      <c r="U41" s="1423" t="n">
        <v>20</v>
      </c>
      <c r="V41" s="1423" t="n">
        <v>55</v>
      </c>
      <c r="W41" s="1423" t="n">
        <v>32</v>
      </c>
      <c r="X41" s="1423" t="n">
        <v>36</v>
      </c>
      <c r="Y41" s="1423" t="n">
        <v>90</v>
      </c>
      <c r="Z41" s="1423" t="n">
        <v>7</v>
      </c>
      <c r="AA41" s="1423" t="n">
        <v>10</v>
      </c>
      <c r="AB41" s="1423" t="n">
        <f>IF(G41="انجام‌شده",1,IF(G41="نیمه‌انجام",0.5,0))</f>
        <v>0</v>
      </c>
      <c r="AC41" s="1423" t="str">
        <v>بله</v>
      </c>
      <c r="AD41" s="1423" t="n">
        <v>1</v>
      </c>
      <c r="AE41" s="1423" t="n">
        <f>IF(OR(AG41&lt;&gt;240,AD41&gt;2,AND(AC41="بله",OR(L41&lt;&gt;150,M41&lt;&gt;90))),1,0)</f>
        <v>0</v>
      </c>
      <c r="AF41" s="1423" t="str">
        <f>IF(AE41=0,"معتبر","نیازمند بررسی")</f>
        <v>معتبر</v>
      </c>
      <c r="AG41" s="1423" t="n">
        <v>240</v>
      </c>
      <c r="AH41" s="1423" t="n">
        <v>68</v>
      </c>
      <c r="AI41" s="1423" t="n">
        <v>28</v>
      </c>
      <c r="AJ41" s="1423" t="n">
        <v>17</v>
      </c>
      <c r="AK41" s="1423" t="n">
        <v>150</v>
      </c>
      <c r="AL41" s="1423" t="n">
        <v>90</v>
      </c>
      <c r="AM41" s="1423" t="n">
        <v>10</v>
      </c>
    </row>
    <row r="42" ht="96" customHeight="1">
      <c r="A42" s="648" t="str">
        <v>۱۴۰۵/۰۶/۲۱</v>
      </c>
      <c r="B42" s="378" t="str">
        <v>شنبه</v>
      </c>
      <c r="C42" s="367" t="str">
        <v>[۱۵۰ دقیقه | روان‌شناسی رشد کرین] مطالعه فصل ۸: نظریه یادگیری پاولف، واتسون و اسکینر، ص ۳۰۶ تا ۳۱۸ (U150)؛ فصل ۹: نظریه یادگیری اجتماعی بندورا، ص ۳۱۹ تا ۳۲۵ (U151)، ۸۷ دقیقه + بازیابیِ بسته‌کتاب همان‌جلسه، ۲۰ دقیقه + بازخورد و اصلاح، ۱۰ دقیقه + مرور D+3/D+7/D+14/D+28 برای U130، U141 و ۴ واحد دیگر، ۵ دقیقه + آزمونک ۷ سؤالی و تحلیل کامل، ۲۸ دقیقه</v>
      </c>
      <c r="D42" s="367" t="str">
        <v>[۹۰ دقیقه | آسیب‌شناسی روانی] مطالعه فصل ۸: اختلالات ناشی از تروما و عوامل استرس‌زا، ص ۴۰۹ تا ۴۱۰ (U034)؛ فصل ۹: اختلالات تجزیه‌ای، ص ۴۱۱ تا ۴۱۴ (U035)، ۲۵ دقیقه + بازیابیِ بسته‌کتاب همان‌جلسه، ۱۰ دقیقه + بازخورد و اصلاح، ۵ دقیقه + مرور D+1/D+3/D+7/D+14/D+28 برای U015، U023، U028، U031 و ۲ واحد دیگر، ۱۰ دقیقه + آزمونک ۱۰ سؤالی و تحلیل کامل، ۴۰ دقیقه</v>
      </c>
      <c r="E4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2" s="678" t="n">
        <v>17</v>
      </c>
      <c r="G42" s="378" t="str">
        <v>انجام‌نشده</v>
      </c>
      <c r="H42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42" s="1422" t="n">
        <v>46277</v>
      </c>
      <c r="J42" s="1423" t="n">
        <v>41</v>
      </c>
      <c r="K42" s="1423" t="n">
        <v>7</v>
      </c>
      <c r="L42" s="1423" t="n">
        <v>150</v>
      </c>
      <c r="M42" s="1423" t="n">
        <v>90</v>
      </c>
      <c r="N42" s="1423" t="str">
        <v>روان‌شناسی رشد کرین</v>
      </c>
      <c r="O42" s="1423" t="str">
        <v>آسیب‌شناسی روانی</v>
      </c>
      <c r="P42" s="1423" t="str">
        <v>U150، U151</v>
      </c>
      <c r="Q42" s="1423" t="str">
        <v>U034، U035</v>
      </c>
      <c r="R42" s="1423" t="n">
        <v>20</v>
      </c>
      <c r="S42" s="1423" t="n">
        <v>6</v>
      </c>
      <c r="T42" s="1423" t="n">
        <v>112</v>
      </c>
      <c r="U42" s="1423" t="n">
        <v>30</v>
      </c>
      <c r="V42" s="1423" t="n">
        <v>15</v>
      </c>
      <c r="W42" s="1423" t="n">
        <v>32</v>
      </c>
      <c r="X42" s="1423" t="n">
        <v>36</v>
      </c>
      <c r="Y42" s="1423" t="n">
        <v>0</v>
      </c>
      <c r="Z42" s="1423" t="n">
        <v>7</v>
      </c>
      <c r="AA42" s="1423" t="n">
        <v>10</v>
      </c>
      <c r="AB42" s="1423" t="n">
        <f>IF(G42="انجام‌شده",1,IF(G42="نیمه‌انجام",0.5,0))</f>
        <v>0</v>
      </c>
      <c r="AC42" s="1423" t="str">
        <v>خیر</v>
      </c>
      <c r="AD42" s="1423" t="n">
        <v>2</v>
      </c>
      <c r="AE42" s="1423" t="n">
        <f>IF(OR(AG42&lt;&gt;240,AD42&gt;2,AND(AC42="بله",OR(L42&lt;&gt;150,M42&lt;&gt;90))),1,0)</f>
        <v>0</v>
      </c>
      <c r="AF42" s="1423" t="str">
        <f>IF(AE42=0,"معتبر","نیازمند بررسی")</f>
        <v>معتبر</v>
      </c>
      <c r="AG42" s="1423" t="n">
        <v>240</v>
      </c>
      <c r="AH42" s="1423" t="n">
        <v>68</v>
      </c>
      <c r="AI42" s="1423" t="n">
        <v>26</v>
      </c>
      <c r="AJ42" s="1423" t="n">
        <v>17</v>
      </c>
      <c r="AK42" s="1423" t="n">
        <v>150</v>
      </c>
      <c r="AL42" s="1423" t="n">
        <v>90</v>
      </c>
      <c r="AM42" s="1423" t="n">
        <v>15</v>
      </c>
    </row>
    <row r="43" ht="96" customHeight="1">
      <c r="A43" s="652" t="str">
        <v>۱۴۰۵/۰۶/۲۲</v>
      </c>
      <c r="B43" s="290" t="str">
        <v>یکشنبه</v>
      </c>
      <c r="C43" s="281" t="str">
        <v>[۱۵۰ دقیقه | نظریه‌های روان‌درمانی پروچاسکا] مطالعه فصل ۱۰: درمان‌های شناختی، ص ۴۹۶ تا ۵۲۲ (U103)؛ فصل ۱۱: درمان‌های موج سوم، ص ۵۲۳ تا ۵۲۳ (U104)، ۸۷ دقیقه + بازیابیِ بسته‌کتاب همان‌جلسه، ۲۰ دقیقه + بازخورد و اصلاح، ۱۰ دقیقه + مرور D+1/D+3/D+7/D+14/D+28 برای U077، U078 و ۷ واحد دیگر، ۵ دقیقه + آزمونک ۷ سؤالی و تحلیل کامل، ۲۸ دقیقه</v>
      </c>
      <c r="D43" s="281" t="str">
        <v>[۹۰ دقیقه | آسیب‌شناسی روانی] مطالعه فصل ۹: اختلالات تجزیه‌ای، ص ۴۱۵ تا ۴۲۰ (U036)، ۲۵ دقیقه + بازیابیِ بسته‌کتاب همان‌جلسه، ۱۰ دقیقه + بازخورد و اصلاح، ۵ دقیقه + مرور D+1/D+3/D+7/D+14 برای U024، U029، U033، U034 و ۱ واحد دیگر، ۱۰ دقیقه + آزمونک ۱۰ سؤالی و تحلیل کامل، ۴۰ دقیقه</v>
      </c>
      <c r="E4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3" s="678" t="n">
        <v>17</v>
      </c>
      <c r="G43" s="290" t="str">
        <v>انجام‌نشده</v>
      </c>
      <c r="H43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43" s="1422" t="n">
        <v>46278</v>
      </c>
      <c r="J43" s="1423" t="n">
        <v>42</v>
      </c>
      <c r="K43" s="1423" t="n">
        <v>7</v>
      </c>
      <c r="L43" s="1423" t="n">
        <v>150</v>
      </c>
      <c r="M43" s="1423" t="n">
        <v>90</v>
      </c>
      <c r="N43" s="1423" t="str">
        <v>نظریه‌های روان‌درمانی پروچاسکا</v>
      </c>
      <c r="O43" s="1423" t="str">
        <v>آسیب‌شناسی روانی</v>
      </c>
      <c r="P43" s="1423" t="str">
        <v>U103، U104</v>
      </c>
      <c r="Q43" s="1423" t="str">
        <v>U036</v>
      </c>
      <c r="R43" s="1423" t="n">
        <v>28</v>
      </c>
      <c r="S43" s="1423" t="n">
        <v>6</v>
      </c>
      <c r="T43" s="1423" t="n">
        <v>112</v>
      </c>
      <c r="U43" s="1423" t="n">
        <v>30</v>
      </c>
      <c r="V43" s="1423" t="n">
        <v>15</v>
      </c>
      <c r="W43" s="1423" t="n">
        <v>32</v>
      </c>
      <c r="X43" s="1423" t="n">
        <v>36</v>
      </c>
      <c r="Y43" s="1423" t="n">
        <v>0</v>
      </c>
      <c r="Z43" s="1423" t="n">
        <v>7</v>
      </c>
      <c r="AA43" s="1423" t="n">
        <v>10</v>
      </c>
      <c r="AB43" s="1423" t="n">
        <f>IF(G43="انجام‌شده",1,IF(G43="نیمه‌انجام",0.5,0))</f>
        <v>0</v>
      </c>
      <c r="AC43" s="1423" t="str">
        <v>خیر</v>
      </c>
      <c r="AD43" s="1423" t="n">
        <v>2</v>
      </c>
      <c r="AE43" s="1423" t="n">
        <f>IF(OR(AG43&lt;&gt;240,AD43&gt;2,AND(AC43="بله",OR(L43&lt;&gt;150,M43&lt;&gt;90))),1,0)</f>
        <v>0</v>
      </c>
      <c r="AF43" s="1423" t="str">
        <f>IF(AE43=0,"معتبر","نیازمند بررسی")</f>
        <v>معتبر</v>
      </c>
      <c r="AG43" s="1423" t="n">
        <v>240</v>
      </c>
      <c r="AH43" s="1423" t="n">
        <v>68</v>
      </c>
      <c r="AI43" s="1423" t="n">
        <v>34</v>
      </c>
      <c r="AJ43" s="1423" t="n">
        <v>17</v>
      </c>
      <c r="AK43" s="1423" t="n">
        <v>150</v>
      </c>
      <c r="AL43" s="1423" t="n">
        <v>90</v>
      </c>
      <c r="AM43" s="1423" t="n">
        <v>15</v>
      </c>
    </row>
    <row r="44" ht="96" customHeight="1">
      <c r="A44" s="648" t="str">
        <v>۱۴۰۵/۰۶/۲۳</v>
      </c>
      <c r="B44" s="378" t="str">
        <v>دوشنبه</v>
      </c>
      <c r="C44" s="367" t="str">
        <v>[۱۵۰ دقیقه | آسیب‌شناسی روانی] مطالعه فصل ۹: اختلالات تجزیه‌ای، ص ۴۲۱ تا ۴۳۴ (U037)؛ فصل ۱۰: اختلالات سوماتیک سیمپتوم، ص ۴۳۵ تا ۴۴۰ (U038)، ۸۷ دقیقه + بازیابیِ بسته‌کتاب همان‌جلسه، ۲۰ دقیقه + بازخورد و اصلاح، ۱۰ دقیقه + مرور D+1/D+7/D+14/D+28 برای U016، U025 و ۲ واحد دیگر، ۵ دقیقه + آزمونک ۷ سؤالی و تحلیل کامل، ۲۸ دقیقه</v>
      </c>
      <c r="D44" s="367" t="str">
        <v>[۹۰ دقیقه | روان‌شناسی رشد کرین] مطالعه فصل ۹: نظریه یادگیری اجتماعی بندورا، ص ۳۲۶ تا ۳۳۱ (U152)، ۲۵ دقیقه + بازیابیِ بسته‌کتاب همان‌جلسه، ۱۰ دقیقه + بازخورد و اصلاح، ۵ دقیقه + مرور D+1/D+7/D+14/D+28 برای U131، U132، U143، U147 و ۳ واحد دیگر، ۱۰ دقیقه + آزمونک ۱۰ سؤالی و تحلیل کامل، ۴۰ دقیقه</v>
      </c>
      <c r="E4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4" s="678" t="n">
        <v>17</v>
      </c>
      <c r="G44" s="378" t="str">
        <v>انجام‌نشده</v>
      </c>
      <c r="H4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44" s="1422" t="n">
        <v>46279</v>
      </c>
      <c r="J44" s="1423" t="n">
        <v>43</v>
      </c>
      <c r="K44" s="1423" t="n">
        <v>7</v>
      </c>
      <c r="L44" s="1423" t="n">
        <v>150</v>
      </c>
      <c r="M44" s="1423" t="n">
        <v>90</v>
      </c>
      <c r="N44" s="1423" t="str">
        <v>آسیب‌شناسی روانی</v>
      </c>
      <c r="O44" s="1423" t="str">
        <v>روان‌شناسی رشد کرین</v>
      </c>
      <c r="P44" s="1423" t="str">
        <v>U037، U038</v>
      </c>
      <c r="Q44" s="1423" t="str">
        <v>U152</v>
      </c>
      <c r="R44" s="1423" t="n">
        <v>20</v>
      </c>
      <c r="S44" s="1423" t="n">
        <v>6</v>
      </c>
      <c r="T44" s="1423" t="n">
        <v>112</v>
      </c>
      <c r="U44" s="1423" t="n">
        <v>30</v>
      </c>
      <c r="V44" s="1423" t="n">
        <v>15</v>
      </c>
      <c r="W44" s="1423" t="n">
        <v>32</v>
      </c>
      <c r="X44" s="1423" t="n">
        <v>36</v>
      </c>
      <c r="Y44" s="1423" t="n">
        <v>0</v>
      </c>
      <c r="Z44" s="1423" t="n">
        <v>7</v>
      </c>
      <c r="AA44" s="1423" t="n">
        <v>10</v>
      </c>
      <c r="AB44" s="1423" t="n">
        <f>IF(G44="انجام‌شده",1,IF(G44="نیمه‌انجام",0.5,0))</f>
        <v>0</v>
      </c>
      <c r="AC44" s="1423" t="str">
        <v>خیر</v>
      </c>
      <c r="AD44" s="1423" t="n">
        <v>2</v>
      </c>
      <c r="AE44" s="1423" t="n">
        <f>IF(OR(AG44&lt;&gt;240,AD44&gt;2,AND(AC44="بله",OR(L44&lt;&gt;150,M44&lt;&gt;90))),1,0)</f>
        <v>0</v>
      </c>
      <c r="AF44" s="1423" t="str">
        <f>IF(AE44=0,"معتبر","نیازمند بررسی")</f>
        <v>معتبر</v>
      </c>
      <c r="AG44" s="1423" t="n">
        <v>240</v>
      </c>
      <c r="AH44" s="1423" t="n">
        <v>68</v>
      </c>
      <c r="AI44" s="1423" t="n">
        <v>26</v>
      </c>
      <c r="AJ44" s="1423" t="n">
        <v>17</v>
      </c>
      <c r="AK44" s="1423" t="n">
        <v>150</v>
      </c>
      <c r="AL44" s="1423" t="n">
        <v>90</v>
      </c>
      <c r="AM44" s="1423" t="n">
        <v>15</v>
      </c>
    </row>
    <row r="45" ht="96" customHeight="1">
      <c r="A45" s="652" t="str">
        <v>۱۴۰۵/۰۶/۲۴</v>
      </c>
      <c r="B45" s="290" t="str">
        <v>سه‌شنبه</v>
      </c>
      <c r="C45" s="281" t="str">
        <v>[۱۵۰ دقیقه | روان‌شناسی رشد کرین] مطالعه فصل ۹: نظریه یادگیری اجتماعی بندورا، ص ۳۳۲ تا ۳۵۰ (U153)؛ فصل ۱۰: نظریه تاریخی ـ اجتماعی ویگوتسکی در زمینه رشد شناختی، ص ۳۵۱ تا ۳۵۱ (U154)، ۸۷ دقیقه + بازیابیِ بسته‌کتاب همان‌جلسه، ۲۰ دقیقه + بازخورد و اصلاح، ۱۰ دقیقه + مرور D+1/D+3/D+28 برای U133، U150 و ۲ واحد دیگر، ۵ دقیقه + آزمونک ۷ سؤالی و تحلیل کامل، ۲۸ دقیقه</v>
      </c>
      <c r="D45" s="281" t="str">
        <v>[۹۰ دقیقه | نظریه‌های روان‌درمانی پروچاسکا] مطالعه فصل ۱۱: درمان‌های موج سوم، ص ۵۲۴ تا ۵۳۱ (U105)، ۲۵ دقیقه + بازیابیِ بسته‌کتاب همان‌جلسه، ۱۰ دقیقه + بازخورد و اصلاح، ۵ دقیقه + مرور D+1/D+3/D+7/D+14/D+28 برای U079، U092، U098، U102 و ۲ واحد دیگر، ۱۰ دقیقه + آزمونک ۱۰ سؤالی و تحلیل کامل، ۴۰ دقیقه</v>
      </c>
      <c r="E4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5" s="678" t="n">
        <v>17</v>
      </c>
      <c r="G45" s="290" t="str">
        <v>انجام‌نشده</v>
      </c>
      <c r="H45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45" s="1422" t="n">
        <v>46280</v>
      </c>
      <c r="J45" s="1423" t="n">
        <v>44</v>
      </c>
      <c r="K45" s="1423" t="n">
        <v>7</v>
      </c>
      <c r="L45" s="1423" t="n">
        <v>150</v>
      </c>
      <c r="M45" s="1423" t="n">
        <v>90</v>
      </c>
      <c r="N45" s="1423" t="str">
        <v>روان‌شناسی رشد کرین</v>
      </c>
      <c r="O45" s="1423" t="str">
        <v>نظریه‌های روان‌درمانی پروچاسکا</v>
      </c>
      <c r="P45" s="1423" t="str">
        <v>U153، U154</v>
      </c>
      <c r="Q45" s="1423" t="str">
        <v>U105</v>
      </c>
      <c r="R45" s="1423" t="n">
        <v>20</v>
      </c>
      <c r="S45" s="1423" t="n">
        <v>8</v>
      </c>
      <c r="T45" s="1423" t="n">
        <v>112</v>
      </c>
      <c r="U45" s="1423" t="n">
        <v>30</v>
      </c>
      <c r="V45" s="1423" t="n">
        <v>15</v>
      </c>
      <c r="W45" s="1423" t="n">
        <v>32</v>
      </c>
      <c r="X45" s="1423" t="n">
        <v>36</v>
      </c>
      <c r="Y45" s="1423" t="n">
        <v>0</v>
      </c>
      <c r="Z45" s="1423" t="n">
        <v>7</v>
      </c>
      <c r="AA45" s="1423" t="n">
        <v>10</v>
      </c>
      <c r="AB45" s="1423" t="n">
        <f>IF(G45="انجام‌شده",1,IF(G45="نیمه‌انجام",0.5,0))</f>
        <v>0</v>
      </c>
      <c r="AC45" s="1423" t="str">
        <v>خیر</v>
      </c>
      <c r="AD45" s="1423" t="n">
        <v>2</v>
      </c>
      <c r="AE45" s="1423" t="n">
        <f>IF(OR(AG45&lt;&gt;240,AD45&gt;2,AND(AC45="بله",OR(L45&lt;&gt;150,M45&lt;&gt;90))),1,0)</f>
        <v>0</v>
      </c>
      <c r="AF45" s="1423" t="str">
        <f>IF(AE45=0,"معتبر","نیازمند بررسی")</f>
        <v>معتبر</v>
      </c>
      <c r="AG45" s="1423" t="n">
        <v>240</v>
      </c>
      <c r="AH45" s="1423" t="n">
        <v>68</v>
      </c>
      <c r="AI45" s="1423" t="n">
        <v>28</v>
      </c>
      <c r="AJ45" s="1423" t="n">
        <v>17</v>
      </c>
      <c r="AK45" s="1423" t="n">
        <v>150</v>
      </c>
      <c r="AL45" s="1423" t="n">
        <v>90</v>
      </c>
      <c r="AM45" s="1423" t="n">
        <v>15</v>
      </c>
    </row>
    <row r="46" ht="96" customHeight="1">
      <c r="A46" s="648" t="str">
        <v>۱۴۰۵/۰۶/۲۵</v>
      </c>
      <c r="B46" s="378" t="str">
        <v>چهارشنبه</v>
      </c>
      <c r="C46" s="367" t="str">
        <v>[۱۵۰ دقیقه | آسیب‌شناسی روانی] مطالعه فصل ۱۰: اختلالات سوماتیک سیمپتوم، ص ۴۴۱ تا ۴۶۰ (U039)، ۸۷ دقیقه + بازیابیِ بسته‌کتاب همان‌جلسه، ۲۰ دقیقه + بازخورد و اصلاح، ۱۰ دقیقه + مرور D+1/D+3/D+7/D+14/D+28 برای U017، U026 و ۱۲ واحد دیگر، ۵ دقیقه + آزمونک ۷ سؤالی و تحلیل کامل، ۲۸ دقیقه</v>
      </c>
      <c r="D46" s="367" t="str">
        <v>[۹۰ دقیقه | نظریه‌های روان‌درمانی پروچاسکا] مطالعه فصل ۱۱: درمان‌های موج سوم، ص ۵۳۲ تا ۵۳۹ (U106)، ۲۵ دقیقه + بازیابیِ بسته‌کتاب همان‌جلسه، ۱۰ دقیقه + بازخورد و اصلاح، ۵ دقیقه + مرور D+1/D+3/D+7/D+14/D+28 برای U080، U093، U099، U100 و ۳ واحد دیگر، ۱۰ دقیقه + آزمونک ۱۰ سؤالی و تحلیل کامل، ۴۰ دقیقه</v>
      </c>
      <c r="E4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6" s="678" t="n">
        <v>17</v>
      </c>
      <c r="G46" s="378" t="str">
        <v>انجام‌نشده</v>
      </c>
      <c r="H46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46" s="1422" t="n">
        <v>46281</v>
      </c>
      <c r="J46" s="1423" t="n">
        <v>45</v>
      </c>
      <c r="K46" s="1423" t="n">
        <v>7</v>
      </c>
      <c r="L46" s="1423" t="n">
        <v>150</v>
      </c>
      <c r="M46" s="1423" t="n">
        <v>90</v>
      </c>
      <c r="N46" s="1423" t="str">
        <v>آسیب‌شناسی روانی</v>
      </c>
      <c r="O46" s="1423" t="str">
        <v>نظریه‌های روان‌درمانی پروچاسکا</v>
      </c>
      <c r="P46" s="1423" t="str">
        <v>U039</v>
      </c>
      <c r="Q46" s="1423" t="str">
        <v>U106</v>
      </c>
      <c r="R46" s="1423" t="n">
        <v>20</v>
      </c>
      <c r="S46" s="1423" t="n">
        <v>8</v>
      </c>
      <c r="T46" s="1423" t="n">
        <v>112</v>
      </c>
      <c r="U46" s="1423" t="n">
        <v>30</v>
      </c>
      <c r="V46" s="1423" t="n">
        <v>15</v>
      </c>
      <c r="W46" s="1423" t="n">
        <v>32</v>
      </c>
      <c r="X46" s="1423" t="n">
        <v>36</v>
      </c>
      <c r="Y46" s="1423" t="n">
        <v>0</v>
      </c>
      <c r="Z46" s="1423" t="n">
        <v>7</v>
      </c>
      <c r="AA46" s="1423" t="n">
        <v>10</v>
      </c>
      <c r="AB46" s="1423" t="n">
        <f>IF(G46="انجام‌شده",1,IF(G46="نیمه‌انجام",0.5,0))</f>
        <v>0</v>
      </c>
      <c r="AC46" s="1423" t="str">
        <v>خیر</v>
      </c>
      <c r="AD46" s="1423" t="n">
        <v>2</v>
      </c>
      <c r="AE46" s="1423" t="n">
        <f>IF(OR(AG46&lt;&gt;240,AD46&gt;2,AND(AC46="بله",OR(L46&lt;&gt;150,M46&lt;&gt;90))),1,0)</f>
        <v>0</v>
      </c>
      <c r="AF46" s="1423" t="str">
        <f>IF(AE46=0,"معتبر","نیازمند بررسی")</f>
        <v>معتبر</v>
      </c>
      <c r="AG46" s="1423" t="n">
        <v>240</v>
      </c>
      <c r="AH46" s="1423" t="n">
        <v>68</v>
      </c>
      <c r="AI46" s="1423" t="n">
        <v>28</v>
      </c>
      <c r="AJ46" s="1423" t="n">
        <v>17</v>
      </c>
      <c r="AK46" s="1423" t="n">
        <v>150</v>
      </c>
      <c r="AL46" s="1423" t="n">
        <v>90</v>
      </c>
      <c r="AM46" s="1423" t="n">
        <v>15</v>
      </c>
    </row>
    <row r="47" ht="96" customHeight="1">
      <c r="A47" s="652" t="str">
        <v>۱۴۰۵/۰۶/۲۶</v>
      </c>
      <c r="B47" s="290" t="str">
        <v>پنجشنبه</v>
      </c>
      <c r="C47" s="281" t="str">
        <v>[۱۵۰ دقیقه | نظریه‌های روان‌درمانی پروچاسکا] مطالعه فصل ۱۱: درمان‌های موج سوم، ص ۵۴۰ تا ۵۵۸ (U107)؛ فصل ۱۲: درمان‌های سیستمی، ص ۵۵۹ تا ۵۶۶ (U108)، ۸۷ دقیقه + بازیابیِ بسته‌کتاب همان‌جلسه، ۲۰ دقیقه + بازخورد و اصلاح، ۱۰ دقیقه + مرور D+1/D+7/D+14/D+28 برای U081، U094 و ۳ واحد دیگر، ۵ دقیقه + آزمونک ۷ سؤالی و تحلیل کامل، ۲۸ دقیقه</v>
      </c>
      <c r="D47" s="281" t="str">
        <v>[۹۰ دقیقه | روان‌شناسی رشد کرین] مطالعه فصل ۱۰: نظریه تاریخی ـ اجتماعی ویگوتسکی در زمینه رشد شناختی، ص ۳۵۲ تا ۳۵۷ (U155)، ۲۵ دقیقه + بازیابیِ بسته‌کتاب همان‌جلسه، ۱۰ دقیقه + بازخورد و اصلاح، ۵ دقیقه + مرور D+1/D+3/D+7/D+14/D+28 برای U134، U135، U144، U149 و ۳ واحد دیگر، ۱۰ دقیقه + آزمونک ۱۰ سؤالی و تحلیل کامل، ۴۰ دقیقه</v>
      </c>
      <c r="E4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7" s="678" t="n">
        <v>17</v>
      </c>
      <c r="G47" s="290" t="str">
        <v>انجام‌نشده</v>
      </c>
      <c r="H47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47" s="1422" t="n">
        <v>46282</v>
      </c>
      <c r="J47" s="1423" t="n">
        <v>46</v>
      </c>
      <c r="K47" s="1423" t="n">
        <v>7</v>
      </c>
      <c r="L47" s="1423" t="n">
        <v>150</v>
      </c>
      <c r="M47" s="1423" t="n">
        <v>90</v>
      </c>
      <c r="N47" s="1423" t="str">
        <v>نظریه‌های روان‌درمانی پروچاسکا</v>
      </c>
      <c r="O47" s="1423" t="str">
        <v>روان‌شناسی رشد کرین</v>
      </c>
      <c r="P47" s="1423" t="str">
        <v>U107، U108</v>
      </c>
      <c r="Q47" s="1423" t="str">
        <v>U155</v>
      </c>
      <c r="R47" s="1423" t="n">
        <v>27</v>
      </c>
      <c r="S47" s="1423" t="n">
        <v>6</v>
      </c>
      <c r="T47" s="1423" t="n">
        <v>112</v>
      </c>
      <c r="U47" s="1423" t="n">
        <v>30</v>
      </c>
      <c r="V47" s="1423" t="n">
        <v>15</v>
      </c>
      <c r="W47" s="1423" t="n">
        <v>32</v>
      </c>
      <c r="X47" s="1423" t="n">
        <v>36</v>
      </c>
      <c r="Y47" s="1423" t="n">
        <v>0</v>
      </c>
      <c r="Z47" s="1423" t="n">
        <v>7</v>
      </c>
      <c r="AA47" s="1423" t="n">
        <v>10</v>
      </c>
      <c r="AB47" s="1423" t="n">
        <f>IF(G47="انجام‌شده",1,IF(G47="نیمه‌انجام",0.5,0))</f>
        <v>0</v>
      </c>
      <c r="AC47" s="1423" t="str">
        <v>خیر</v>
      </c>
      <c r="AD47" s="1423" t="n">
        <v>2</v>
      </c>
      <c r="AE47" s="1423" t="n">
        <f>IF(OR(AG47&lt;&gt;240,AD47&gt;2,AND(AC47="بله",OR(L47&lt;&gt;150,M47&lt;&gt;90))),1,0)</f>
        <v>0</v>
      </c>
      <c r="AF47" s="1423" t="str">
        <f>IF(AE47=0,"معتبر","نیازمند بررسی")</f>
        <v>معتبر</v>
      </c>
      <c r="AG47" s="1423" t="n">
        <v>240</v>
      </c>
      <c r="AH47" s="1423" t="n">
        <v>68</v>
      </c>
      <c r="AI47" s="1423" t="n">
        <v>33</v>
      </c>
      <c r="AJ47" s="1423" t="n">
        <v>17</v>
      </c>
      <c r="AK47" s="1423" t="n">
        <v>150</v>
      </c>
      <c r="AL47" s="1423" t="n">
        <v>90</v>
      </c>
      <c r="AM47" s="1423" t="n">
        <v>15</v>
      </c>
    </row>
    <row r="48" ht="96" customHeight="1">
      <c r="A48" s="648" t="str">
        <v>۱۴۰۵/۰۶/۲۷</v>
      </c>
      <c r="B48" s="378" t="str">
        <v>جمعه</v>
      </c>
      <c r="C48" s="367" t="str">
        <v>[۱۵۰ دقیقه | روان‌شناسی رشد کرین] مطالعه فصل ۱۰: نظریه تاریخی ـ اجتماعی ویگوتسکی در زمینه رشد شناختی، ص ۳۵۸ تا ۳۷۷ (U156)، ۸۷ دقیقه + بازیابیِ بسته‌کتاب همان‌جلسه، ۲۰ دقیقه + بازخورد و اصلاح، ۱۰ دقیقه + مرور D+1/D+3 برای U153، U154 و ۱ واحد دیگر، ۵ دقیقه + آزمونک ۷ سؤالی و تحلیل کامل، ۲۸ دقیقه</v>
      </c>
      <c r="D48" s="367" t="str">
        <v>ایستگاه جبرانی و تثبیت — [۹۰ دقیقه | روان‌شناسی رشد کرین] اولویت: بالاترین تکلیف ناتمام هفته؛ جایگزین ازپیش‌تعریف‌شده: مرور D+1/D+3 برای U153، U154، U155 و اصلاح دفتر خطا، ۵۰ دقیقه + آزمون هدفمند ۱۰ سؤالی و تحلیل کامل، ۴۰ دقیقه</v>
      </c>
      <c r="E48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48" s="678" t="n">
        <v>17</v>
      </c>
      <c r="G48" s="378" t="str">
        <v>انجام‌نشده</v>
      </c>
      <c r="H48" s="390" t="str">
        <v>روش محوری: مرور بازیابی‌محور تطبیقی. منبع تست پارت ۱: بانک تست موجود کاربر | منبع تست پارت ۲: بانک تست موجود کاربر</v>
      </c>
      <c r="I48" s="1422" t="n">
        <v>46283</v>
      </c>
      <c r="J48" s="1423" t="n">
        <v>47</v>
      </c>
      <c r="K48" s="1423" t="n">
        <v>7</v>
      </c>
      <c r="L48" s="1423" t="n">
        <v>150</v>
      </c>
      <c r="M48" s="1423" t="n">
        <v>90</v>
      </c>
      <c r="N48" s="1423" t="str">
        <v>روان‌شناسی رشد کرین</v>
      </c>
      <c r="O48" s="1423" t="str">
        <v>روان‌شناسی رشد کرین</v>
      </c>
      <c r="P48" s="1423" t="str">
        <v>U156</v>
      </c>
      <c r="Q48" s="1423" t="str">
        <v>ایستگاه جبرانی</v>
      </c>
      <c r="R48" s="1423" t="n">
        <v>20</v>
      </c>
      <c r="S48" s="1423" t="n">
        <v>0</v>
      </c>
      <c r="T48" s="1423" t="n">
        <v>87</v>
      </c>
      <c r="U48" s="1423" t="n">
        <v>20</v>
      </c>
      <c r="V48" s="1423" t="n">
        <v>55</v>
      </c>
      <c r="W48" s="1423" t="n">
        <v>32</v>
      </c>
      <c r="X48" s="1423" t="n">
        <v>36</v>
      </c>
      <c r="Y48" s="1423" t="n">
        <v>90</v>
      </c>
      <c r="Z48" s="1423" t="n">
        <v>7</v>
      </c>
      <c r="AA48" s="1423" t="n">
        <v>10</v>
      </c>
      <c r="AB48" s="1423" t="n">
        <f>IF(G48="انجام‌شده",1,IF(G48="نیمه‌انجام",0.5,0))</f>
        <v>0</v>
      </c>
      <c r="AC48" s="1423" t="str">
        <v>بله</v>
      </c>
      <c r="AD48" s="1423" t="n">
        <v>1</v>
      </c>
      <c r="AE48" s="1423" t="n">
        <f>IF(OR(AG48&lt;&gt;240,AD48&gt;2,AND(AC48="بله",OR(L48&lt;&gt;150,M48&lt;&gt;90))),1,0)</f>
        <v>0</v>
      </c>
      <c r="AF48" s="1423" t="str">
        <f>IF(AE48=0,"معتبر","نیازمند بررسی")</f>
        <v>معتبر</v>
      </c>
      <c r="AG48" s="1423" t="n">
        <v>240</v>
      </c>
      <c r="AH48" s="1423" t="n">
        <v>68</v>
      </c>
      <c r="AI48" s="1423" t="n">
        <v>20</v>
      </c>
      <c r="AJ48" s="1423" t="n">
        <v>17</v>
      </c>
      <c r="AK48" s="1423" t="n">
        <v>150</v>
      </c>
      <c r="AL48" s="1423" t="n">
        <v>90</v>
      </c>
      <c r="AM48" s="1423" t="n">
        <v>10</v>
      </c>
    </row>
    <row r="49" ht="96" customHeight="1">
      <c r="A49" s="652" t="str">
        <v>۱۴۰۵/۰۶/۲۸</v>
      </c>
      <c r="B49" s="290" t="str">
        <v>شنبه</v>
      </c>
      <c r="C49" s="281" t="str">
        <v>[۱۵۰ دقیقه | آسیب‌شناسی روانی] مطالعه فصل ۱۱: اختلالات خوردن و تغذیه، ص ۴۶۱ تا ۴۸۰ (U040)، ۸۷ دقیقه + بازیابیِ بسته‌کتاب همان‌جلسه، ۲۰ دقیقه + بازخورد و اصلاح، ۱۰ دقیقه + مرور D+3/D+7/D+14/D+28 برای U018، U028 و ۳ واحد دیگر، ۵ دقیقه + آزمونک ۷ سؤالی و تحلیل کامل، ۲۸ دقیقه</v>
      </c>
      <c r="D49" s="281" t="str">
        <v>[۹۰ دقیقه | نظریه‌های روان‌درمانی پروچاسکا] مطالعه فصل ۱۲: درمان‌های سیستمی، ص ۵۶۷ تا ۵۷۴ (U109)، ۲۵ دقیقه + بازیابیِ بسته‌کتاب همان‌جلسه، ۱۰ دقیقه + بازخورد و اصلاح، ۵ دقیقه + مرور D+1/D+3/D+7/D+14/D+28 برای U082، U083، U096، U102 و ۴ واحد دیگر، ۱۰ دقیقه + آزمونک ۱۰ سؤالی و تحلیل کامل، ۴۰ دقیقه</v>
      </c>
      <c r="E4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9" s="678" t="n">
        <v>17</v>
      </c>
      <c r="G49" s="290" t="str">
        <v>انجام‌نشده</v>
      </c>
      <c r="H49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49" s="1422" t="n">
        <v>46284</v>
      </c>
      <c r="J49" s="1423" t="n">
        <v>48</v>
      </c>
      <c r="K49" s="1423" t="n">
        <v>8</v>
      </c>
      <c r="L49" s="1423" t="n">
        <v>150</v>
      </c>
      <c r="M49" s="1423" t="n">
        <v>90</v>
      </c>
      <c r="N49" s="1423" t="str">
        <v>آسیب‌شناسی روانی</v>
      </c>
      <c r="O49" s="1423" t="str">
        <v>نظریه‌های روان‌درمانی پروچاسکا</v>
      </c>
      <c r="P49" s="1423" t="str">
        <v>U040</v>
      </c>
      <c r="Q49" s="1423" t="str">
        <v>U109</v>
      </c>
      <c r="R49" s="1423" t="n">
        <v>20</v>
      </c>
      <c r="S49" s="1423" t="n">
        <v>8</v>
      </c>
      <c r="T49" s="1423" t="n">
        <v>112</v>
      </c>
      <c r="U49" s="1423" t="n">
        <v>30</v>
      </c>
      <c r="V49" s="1423" t="n">
        <v>15</v>
      </c>
      <c r="W49" s="1423" t="n">
        <v>32</v>
      </c>
      <c r="X49" s="1423" t="n">
        <v>36</v>
      </c>
      <c r="Y49" s="1423" t="n">
        <v>0</v>
      </c>
      <c r="Z49" s="1423" t="n">
        <v>7</v>
      </c>
      <c r="AA49" s="1423" t="n">
        <v>10</v>
      </c>
      <c r="AB49" s="1423" t="n">
        <f>IF(G49="انجام‌شده",1,IF(G49="نیمه‌انجام",0.5,0))</f>
        <v>0</v>
      </c>
      <c r="AC49" s="1423" t="str">
        <v>خیر</v>
      </c>
      <c r="AD49" s="1423" t="n">
        <v>2</v>
      </c>
      <c r="AE49" s="1423" t="n">
        <f>IF(OR(AG49&lt;&gt;240,AD49&gt;2,AND(AC49="بله",OR(L49&lt;&gt;150,M49&lt;&gt;90))),1,0)</f>
        <v>0</v>
      </c>
      <c r="AF49" s="1423" t="str">
        <f>IF(AE49=0,"معتبر","نیازمند بررسی")</f>
        <v>معتبر</v>
      </c>
      <c r="AG49" s="1423" t="n">
        <v>240</v>
      </c>
      <c r="AH49" s="1423" t="n">
        <v>68</v>
      </c>
      <c r="AI49" s="1423" t="n">
        <v>28</v>
      </c>
      <c r="AJ49" s="1423" t="n">
        <v>17</v>
      </c>
      <c r="AK49" s="1423" t="n">
        <v>150</v>
      </c>
      <c r="AL49" s="1423" t="n">
        <v>90</v>
      </c>
      <c r="AM49" s="1423" t="n">
        <v>15</v>
      </c>
    </row>
    <row r="50" ht="96" customHeight="1">
      <c r="A50" s="648" t="str">
        <v>۱۴۰۵/۰۶/۲۹</v>
      </c>
      <c r="B50" s="378" t="str">
        <v>یکشنبه</v>
      </c>
      <c r="C50" s="367" t="str">
        <v>[۱۵۰ دقیقه | نظریه‌های روان‌درمانی پروچاسکا] مطالعه فصل ۱۲: درمان‌های سیستمی، ص ۵۷۵ تا ۶۰۱ (U110)، ۸۷ دقیقه + بازیابیِ بسته‌کتاب همان‌جلسه، ۲۰ دقیقه + بازخورد و اصلاح، ۱۰ دقیقه + مرور D+1/D+3/D+7/D+14/D+28 برای U084، U097 و ۵ واحد دیگر، ۵ دقیقه + آزمونک ۷ سؤالی و تحلیل کامل، ۲۸ دقیقه</v>
      </c>
      <c r="D50" s="367" t="str">
        <v>[۹۰ دقیقه | روان‌شناسی رشد کرین] مطالعه فصل ۱۰: نظریه تاریخی ـ اجتماعی ویگوتسکی در زمینه رشد شناختی، ص ۳۷۸ تا ۳۸۳ (U157)، ۲۵ دقیقه + بازیابیِ بسته‌کتاب همان‌جلسه، ۱۰ دقیقه + بازخورد و اصلاح، ۵ دقیقه + مرور D+1/D+3/D+7/D+14/D+28 برای U136، U137، U145، U146 و ۴ واحد دیگر، ۱۰ دقیقه + آزمونک ۱۰ سؤالی و تحلیل کامل، ۴۰ دقیقه</v>
      </c>
      <c r="E5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0" s="678" t="n">
        <v>17</v>
      </c>
      <c r="G50" s="378" t="str">
        <v>انجام‌نشده</v>
      </c>
      <c r="H50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50" s="1422" t="n">
        <v>46285</v>
      </c>
      <c r="J50" s="1423" t="n">
        <v>49</v>
      </c>
      <c r="K50" s="1423" t="n">
        <v>8</v>
      </c>
      <c r="L50" s="1423" t="n">
        <v>150</v>
      </c>
      <c r="M50" s="1423" t="n">
        <v>90</v>
      </c>
      <c r="N50" s="1423" t="str">
        <v>نظریه‌های روان‌درمانی پروچاسکا</v>
      </c>
      <c r="O50" s="1423" t="str">
        <v>روان‌شناسی رشد کرین</v>
      </c>
      <c r="P50" s="1423" t="str">
        <v>U110</v>
      </c>
      <c r="Q50" s="1423" t="str">
        <v>U157</v>
      </c>
      <c r="R50" s="1423" t="n">
        <v>27</v>
      </c>
      <c r="S50" s="1423" t="n">
        <v>6</v>
      </c>
      <c r="T50" s="1423" t="n">
        <v>112</v>
      </c>
      <c r="U50" s="1423" t="n">
        <v>30</v>
      </c>
      <c r="V50" s="1423" t="n">
        <v>15</v>
      </c>
      <c r="W50" s="1423" t="n">
        <v>32</v>
      </c>
      <c r="X50" s="1423" t="n">
        <v>36</v>
      </c>
      <c r="Y50" s="1423" t="n">
        <v>0</v>
      </c>
      <c r="Z50" s="1423" t="n">
        <v>7</v>
      </c>
      <c r="AA50" s="1423" t="n">
        <v>10</v>
      </c>
      <c r="AB50" s="1423" t="n">
        <f>IF(G50="انجام‌شده",1,IF(G50="نیمه‌انجام",0.5,0))</f>
        <v>0</v>
      </c>
      <c r="AC50" s="1423" t="str">
        <v>خیر</v>
      </c>
      <c r="AD50" s="1423" t="n">
        <v>2</v>
      </c>
      <c r="AE50" s="1423" t="n">
        <f>IF(OR(AG50&lt;&gt;240,AD50&gt;2,AND(AC50="بله",OR(L50&lt;&gt;150,M50&lt;&gt;90))),1,0)</f>
        <v>0</v>
      </c>
      <c r="AF50" s="1423" t="str">
        <f>IF(AE50=0,"معتبر","نیازمند بررسی")</f>
        <v>معتبر</v>
      </c>
      <c r="AG50" s="1423" t="n">
        <v>240</v>
      </c>
      <c r="AH50" s="1423" t="n">
        <v>68</v>
      </c>
      <c r="AI50" s="1423" t="n">
        <v>33</v>
      </c>
      <c r="AJ50" s="1423" t="n">
        <v>17</v>
      </c>
      <c r="AK50" s="1423" t="n">
        <v>150</v>
      </c>
      <c r="AL50" s="1423" t="n">
        <v>90</v>
      </c>
      <c r="AM50" s="1423" t="n">
        <v>15</v>
      </c>
    </row>
    <row r="51" ht="96" customHeight="1">
      <c r="A51" s="652" t="str">
        <v>۱۴۰۵/۰۶/۳۰</v>
      </c>
      <c r="B51" s="290" t="str">
        <v>دوشنبه</v>
      </c>
      <c r="C51" s="281" t="str">
        <v>[۱۵۰ دقیقه | آسیب‌شناسی روانی] مطالعه فصل ۱۲: اختلالات دفع، ص ۴۸۱ تا ۴۸۶ (U041)؛ فصل ۱۳: اختلالات خواب و بیداری، ص ۴۸۷ تا ۵۰۰ (U042)، ۸۷ دقیقه + بازیابیِ بسته‌کتاب همان‌جلسه، ۲۰ دقیقه + بازخورد و اصلاح، ۱۰ دقیقه + مرور D+1/D+7/D+14/D+28 برای U019، U029 و ۵ واحد دیگر، ۵ دقیقه + آزمونک ۷ سؤالی و تحلیل کامل، ۲۸ دقیقه</v>
      </c>
      <c r="D51" s="281" t="str">
        <v>[۹۰ دقیقه | روان‌شناسی رشد کرین] مطالعه فصل ۱۰: نظریه تاریخی ـ اجتماعی ویگوتسکی در زمینه رشد شناختی، ص ۳۸۴ تا ۳۸۹ (U158)، ۲۵ دقیقه + بازیابیِ بسته‌کتاب همان‌جلسه، ۱۰ دقیقه + بازخورد و اصلاح، ۵ دقیقه + مرور D+1/D+3/D+7/D+14/D+28 برای U138، U139، U147، U148 و ۳ واحد دیگر، ۱۰ دقیقه + آزمونک ۱۰ سؤالی و تحلیل کامل، ۴۰ دقیقه</v>
      </c>
      <c r="E5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1" s="678" t="n">
        <v>17</v>
      </c>
      <c r="G51" s="290" t="str">
        <v>انجام‌نشده</v>
      </c>
      <c r="H51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51" s="1422" t="n">
        <v>46286</v>
      </c>
      <c r="J51" s="1423" t="n">
        <v>50</v>
      </c>
      <c r="K51" s="1423" t="n">
        <v>8</v>
      </c>
      <c r="L51" s="1423" t="n">
        <v>150</v>
      </c>
      <c r="M51" s="1423" t="n">
        <v>90</v>
      </c>
      <c r="N51" s="1423" t="str">
        <v>آسیب‌شناسی روانی</v>
      </c>
      <c r="O51" s="1423" t="str">
        <v>روان‌شناسی رشد کرین</v>
      </c>
      <c r="P51" s="1423" t="str">
        <v>U041، U042</v>
      </c>
      <c r="Q51" s="1423" t="str">
        <v>U158</v>
      </c>
      <c r="R51" s="1423" t="n">
        <v>20</v>
      </c>
      <c r="S51" s="1423" t="n">
        <v>6</v>
      </c>
      <c r="T51" s="1423" t="n">
        <v>112</v>
      </c>
      <c r="U51" s="1423" t="n">
        <v>30</v>
      </c>
      <c r="V51" s="1423" t="n">
        <v>15</v>
      </c>
      <c r="W51" s="1423" t="n">
        <v>32</v>
      </c>
      <c r="X51" s="1423" t="n">
        <v>36</v>
      </c>
      <c r="Y51" s="1423" t="n">
        <v>0</v>
      </c>
      <c r="Z51" s="1423" t="n">
        <v>7</v>
      </c>
      <c r="AA51" s="1423" t="n">
        <v>10</v>
      </c>
      <c r="AB51" s="1423" t="n">
        <f>IF(G51="انجام‌شده",1,IF(G51="نیمه‌انجام",0.5,0))</f>
        <v>0</v>
      </c>
      <c r="AC51" s="1423" t="str">
        <v>خیر</v>
      </c>
      <c r="AD51" s="1423" t="n">
        <v>2</v>
      </c>
      <c r="AE51" s="1423" t="n">
        <f>IF(OR(AG51&lt;&gt;240,AD51&gt;2,AND(AC51="بله",OR(L51&lt;&gt;150,M51&lt;&gt;90))),1,0)</f>
        <v>0</v>
      </c>
      <c r="AF51" s="1423" t="str">
        <f>IF(AE51=0,"معتبر","نیازمند بررسی")</f>
        <v>معتبر</v>
      </c>
      <c r="AG51" s="1423" t="n">
        <v>240</v>
      </c>
      <c r="AH51" s="1423" t="n">
        <v>68</v>
      </c>
      <c r="AI51" s="1423" t="n">
        <v>26</v>
      </c>
      <c r="AJ51" s="1423" t="n">
        <v>17</v>
      </c>
      <c r="AK51" s="1423" t="n">
        <v>150</v>
      </c>
      <c r="AL51" s="1423" t="n">
        <v>90</v>
      </c>
      <c r="AM51" s="1423" t="n">
        <v>15</v>
      </c>
    </row>
    <row r="52" ht="96" customHeight="1">
      <c r="A52" s="648" t="str">
        <v>۱۴۰۵/۰۶/۳۱</v>
      </c>
      <c r="B52" s="378" t="str">
        <v>سه‌شنبه</v>
      </c>
      <c r="C52" s="367" t="str">
        <v>[۱۵۰ دقیقه | روان‌شناسی رشد کرین] مطالعه فصل ۱۰: نظریه تاریخی ـ اجتماعی ویگوتسکی در زمینه رشد شناختی، ص ۳۹۰ تا ۳۹۶ (U159)؛ فصل ۱۱: نظریه روان‌تحلیلی فروید، ص ۳۹۷ تا ۴۰۹ (U160)، ۸۷ دقیقه + بازیابیِ بسته‌کتاب همان‌جلسه، ۲۰ دقیقه + بازخورد و اصلاح، ۱۰ دقیقه + مرور D+1/D+7 برای U153، U154 و ۱ واحد دیگر، ۵ دقیقه + آزمونک ۷ سؤالی و تحلیل کامل، ۲۸ دقیقه</v>
      </c>
      <c r="D52" s="367" t="str">
        <v>[۹۰ دقیقه | نظریه‌های روان‌درمانی پروچاسکا] مطالعه فصل ۱۲: درمان‌های سیستمی، ص ۶۰۲ تا ۶۰۹ (U111)، ۲۵ دقیقه + بازیابیِ بسته‌کتاب همان‌جلسه، ۱۰ دقیقه + بازخورد و اصلاح، ۵ دقیقه + مرور D+1/D+3/D+7/D+14/D+28 برای U085، U098، U105، U109 و ۱ واحد دیگر، ۱۰ دقیقه + آزمونک ۱۰ سؤالی و تحلیل کامل، ۴۰ دقیقه</v>
      </c>
      <c r="E5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2" s="678" t="n">
        <v>17</v>
      </c>
      <c r="G52" s="378" t="str">
        <v>انجام‌نشده</v>
      </c>
      <c r="H52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52" s="1422" t="n">
        <v>46287</v>
      </c>
      <c r="J52" s="1423" t="n">
        <v>51</v>
      </c>
      <c r="K52" s="1423" t="n">
        <v>8</v>
      </c>
      <c r="L52" s="1423" t="n">
        <v>150</v>
      </c>
      <c r="M52" s="1423" t="n">
        <v>90</v>
      </c>
      <c r="N52" s="1423" t="str">
        <v>روان‌شناسی رشد کرین</v>
      </c>
      <c r="O52" s="1423" t="str">
        <v>نظریه‌های روان‌درمانی پروچاسکا</v>
      </c>
      <c r="P52" s="1423" t="str">
        <v>U159، U160</v>
      </c>
      <c r="Q52" s="1423" t="str">
        <v>U111</v>
      </c>
      <c r="R52" s="1423" t="n">
        <v>20</v>
      </c>
      <c r="S52" s="1423" t="n">
        <v>8</v>
      </c>
      <c r="T52" s="1423" t="n">
        <v>112</v>
      </c>
      <c r="U52" s="1423" t="n">
        <v>30</v>
      </c>
      <c r="V52" s="1423" t="n">
        <v>15</v>
      </c>
      <c r="W52" s="1423" t="n">
        <v>32</v>
      </c>
      <c r="X52" s="1423" t="n">
        <v>36</v>
      </c>
      <c r="Y52" s="1423" t="n">
        <v>0</v>
      </c>
      <c r="Z52" s="1423" t="n">
        <v>7</v>
      </c>
      <c r="AA52" s="1423" t="n">
        <v>10</v>
      </c>
      <c r="AB52" s="1423" t="n">
        <f>IF(G52="انجام‌شده",1,IF(G52="نیمه‌انجام",0.5,0))</f>
        <v>0</v>
      </c>
      <c r="AC52" s="1423" t="str">
        <v>خیر</v>
      </c>
      <c r="AD52" s="1423" t="n">
        <v>2</v>
      </c>
      <c r="AE52" s="1423" t="n">
        <f>IF(OR(AG52&lt;&gt;240,AD52&gt;2,AND(AC52="بله",OR(L52&lt;&gt;150,M52&lt;&gt;90))),1,0)</f>
        <v>0</v>
      </c>
      <c r="AF52" s="1423" t="str">
        <f>IF(AE52=0,"معتبر","نیازمند بررسی")</f>
        <v>معتبر</v>
      </c>
      <c r="AG52" s="1423" t="n">
        <v>240</v>
      </c>
      <c r="AH52" s="1423" t="n">
        <v>68</v>
      </c>
      <c r="AI52" s="1423" t="n">
        <v>28</v>
      </c>
      <c r="AJ52" s="1423" t="n">
        <v>17</v>
      </c>
      <c r="AK52" s="1423" t="n">
        <v>150</v>
      </c>
      <c r="AL52" s="1423" t="n">
        <v>90</v>
      </c>
      <c r="AM52" s="1423" t="n">
        <v>15</v>
      </c>
    </row>
    <row r="53" ht="96" customHeight="1">
      <c r="A53" s="652" t="str">
        <v>۱۴۰۵/۰۷/۰۱</v>
      </c>
      <c r="B53" s="290" t="str">
        <v>چهارشنبه</v>
      </c>
      <c r="C53" s="281" t="str">
        <v>[۱۵۰ دقیقه | نظریه‌های روان‌درمانی پروچاسکا] مطالعه فصل ۱۲: درمان‌های سیستمی، ص ۶۱۰ تا ۶۲۲ (U112)؛ فصل ۱۳: درمان‌های حساس به جنسیت، ص ۶۲۳ تا ۶۳۶ (U113)، ۸۷ دقیقه + بازیابیِ بسته‌کتاب همان‌جلسه، ۲۰ دقیقه + بازخورد و اصلاح، ۱۰ دقیقه + مرور D+1/D+3/D+7/D+14/D+28 برای U086، U087 و ۱۱ واحد دیگر، ۵ دقیقه + آزمونک ۷ سؤالی و تحلیل کامل، ۲۸ دقیقه</v>
      </c>
      <c r="D53" s="281" t="str">
        <v>[۹۰ دقیقه | آسیب‌شناسی روانی] مطالعه فصل ۱۳: اختلالات خواب و بیداری، ص ۵۰۱ تا ۵۰۴ (U043)؛ فصل ۱۴: اختلالات جنسی، ص ۵۰۵ تا ۵۰۶ (U044)، ۲۵ دقیقه + بازیابیِ بسته‌کتاب همان‌جلسه، ۱۰ دقیقه + بازخورد و اصلاح، ۵ دقیقه + مرور D+1/D+3/D+7/D+14/D+28 برای U020، U021، U031، U032 و ۴ واحد دیگر، ۱۰ دقیقه + آزمونک ۱۰ سؤالی و تحلیل کامل، ۴۰ دقیقه</v>
      </c>
      <c r="E5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3" s="678" t="n">
        <v>17</v>
      </c>
      <c r="G53" s="290" t="str">
        <v>انجام‌نشده</v>
      </c>
      <c r="H53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53" s="1422" t="n">
        <v>46288</v>
      </c>
      <c r="J53" s="1423" t="n">
        <v>52</v>
      </c>
      <c r="K53" s="1423" t="n">
        <v>8</v>
      </c>
      <c r="L53" s="1423" t="n">
        <v>150</v>
      </c>
      <c r="M53" s="1423" t="n">
        <v>90</v>
      </c>
      <c r="N53" s="1423" t="str">
        <v>نظریه‌های روان‌درمانی پروچاسکا</v>
      </c>
      <c r="O53" s="1423" t="str">
        <v>آسیب‌شناسی روانی</v>
      </c>
      <c r="P53" s="1423" t="str">
        <v>U112، U113</v>
      </c>
      <c r="Q53" s="1423" t="str">
        <v>U043، U044</v>
      </c>
      <c r="R53" s="1423" t="n">
        <v>27</v>
      </c>
      <c r="S53" s="1423" t="n">
        <v>6</v>
      </c>
      <c r="T53" s="1423" t="n">
        <v>112</v>
      </c>
      <c r="U53" s="1423" t="n">
        <v>30</v>
      </c>
      <c r="V53" s="1423" t="n">
        <v>15</v>
      </c>
      <c r="W53" s="1423" t="n">
        <v>32</v>
      </c>
      <c r="X53" s="1423" t="n">
        <v>36</v>
      </c>
      <c r="Y53" s="1423" t="n">
        <v>0</v>
      </c>
      <c r="Z53" s="1423" t="n">
        <v>7</v>
      </c>
      <c r="AA53" s="1423" t="n">
        <v>10</v>
      </c>
      <c r="AB53" s="1423" t="n">
        <f>IF(G53="انجام‌شده",1,IF(G53="نیمه‌انجام",0.5,0))</f>
        <v>0</v>
      </c>
      <c r="AC53" s="1423" t="str">
        <v>خیر</v>
      </c>
      <c r="AD53" s="1423" t="n">
        <v>2</v>
      </c>
      <c r="AE53" s="1423" t="n">
        <f>IF(OR(AG53&lt;&gt;240,AD53&gt;2,AND(AC53="بله",OR(L53&lt;&gt;150,M53&lt;&gt;90))),1,0)</f>
        <v>0</v>
      </c>
      <c r="AF53" s="1423" t="str">
        <f>IF(AE53=0,"معتبر","نیازمند بررسی")</f>
        <v>معتبر</v>
      </c>
      <c r="AG53" s="1423" t="n">
        <v>240</v>
      </c>
      <c r="AH53" s="1423" t="n">
        <v>68</v>
      </c>
      <c r="AI53" s="1423" t="n">
        <v>33</v>
      </c>
      <c r="AJ53" s="1423" t="n">
        <v>17</v>
      </c>
      <c r="AK53" s="1423" t="n">
        <v>150</v>
      </c>
      <c r="AL53" s="1423" t="n">
        <v>90</v>
      </c>
      <c r="AM53" s="1423" t="n">
        <v>15</v>
      </c>
    </row>
    <row r="54" ht="96" customHeight="1">
      <c r="A54" s="648" t="str">
        <v>۱۴۰۵/۰۷/۰۲</v>
      </c>
      <c r="B54" s="378" t="str">
        <v>پنجشنبه</v>
      </c>
      <c r="C54" s="367" t="str">
        <v>[۱۵۰ دقیقه | روان‌شناسی رشد کرین] مطالعه فصل ۱۱: نظریه روان‌تحلیلی فروید، ص ۴۱۰ تا ۴۲۹ (U161)، ۸۷ دقیقه + بازیابیِ بسته‌کتاب همان‌جلسه، ۲۰ دقیقه + بازخورد و اصلاح، ۱۰ دقیقه + مرور D+1/D+3/D+7/D+14/D+28 برای U140، U149 و ۵ واحد دیگر، ۵ دقیقه + آزمونک ۷ سؤالی و تحلیل کامل، ۲۸ دقیقه</v>
      </c>
      <c r="D54" s="367" t="str">
        <v>[۹۰ دقیقه | آسیب‌شناسی روانی] مطالعه فصل ۱۴: اختلالات جنسی، ص ۵۰۷ تا ۵۱۲ (U045)، ۲۵ دقیقه + بازیابیِ بسته‌کتاب همان‌جلسه، ۱۰ دقیقه + بازخورد و اصلاح، ۵ دقیقه + مرور D+1/D+3/D+14/D+28 برای U022، U033، U041، U042 و ۲ واحد دیگر، ۱۰ دقیقه + آزمونک ۱۰ سؤالی و تحلیل کامل، ۴۰ دقیقه</v>
      </c>
      <c r="E5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4" s="678" t="n">
        <v>17</v>
      </c>
      <c r="G54" s="378" t="str">
        <v>انجام‌نشده</v>
      </c>
      <c r="H54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54" s="1422" t="n">
        <v>46289</v>
      </c>
      <c r="J54" s="1423" t="n">
        <v>53</v>
      </c>
      <c r="K54" s="1423" t="n">
        <v>8</v>
      </c>
      <c r="L54" s="1423" t="n">
        <v>150</v>
      </c>
      <c r="M54" s="1423" t="n">
        <v>90</v>
      </c>
      <c r="N54" s="1423" t="str">
        <v>روان‌شناسی رشد کرین</v>
      </c>
      <c r="O54" s="1423" t="str">
        <v>آسیب‌شناسی روانی</v>
      </c>
      <c r="P54" s="1423" t="str">
        <v>U161</v>
      </c>
      <c r="Q54" s="1423" t="str">
        <v>U045</v>
      </c>
      <c r="R54" s="1423" t="n">
        <v>20</v>
      </c>
      <c r="S54" s="1423" t="n">
        <v>6</v>
      </c>
      <c r="T54" s="1423" t="n">
        <v>112</v>
      </c>
      <c r="U54" s="1423" t="n">
        <v>30</v>
      </c>
      <c r="V54" s="1423" t="n">
        <v>15</v>
      </c>
      <c r="W54" s="1423" t="n">
        <v>32</v>
      </c>
      <c r="X54" s="1423" t="n">
        <v>36</v>
      </c>
      <c r="Y54" s="1423" t="n">
        <v>0</v>
      </c>
      <c r="Z54" s="1423" t="n">
        <v>7</v>
      </c>
      <c r="AA54" s="1423" t="n">
        <v>10</v>
      </c>
      <c r="AB54" s="1423" t="n">
        <f>IF(G54="انجام‌شده",1,IF(G54="نیمه‌انجام",0.5,0))</f>
        <v>0</v>
      </c>
      <c r="AC54" s="1423" t="str">
        <v>خیر</v>
      </c>
      <c r="AD54" s="1423" t="n">
        <v>2</v>
      </c>
      <c r="AE54" s="1423" t="n">
        <f>IF(OR(AG54&lt;&gt;240,AD54&gt;2,AND(AC54="بله",OR(L54&lt;&gt;150,M54&lt;&gt;90))),1,0)</f>
        <v>0</v>
      </c>
      <c r="AF54" s="1423" t="str">
        <f>IF(AE54=0,"معتبر","نیازمند بررسی")</f>
        <v>معتبر</v>
      </c>
      <c r="AG54" s="1423" t="n">
        <v>240</v>
      </c>
      <c r="AH54" s="1423" t="n">
        <v>68</v>
      </c>
      <c r="AI54" s="1423" t="n">
        <v>26</v>
      </c>
      <c r="AJ54" s="1423" t="n">
        <v>17</v>
      </c>
      <c r="AK54" s="1423" t="n">
        <v>150</v>
      </c>
      <c r="AL54" s="1423" t="n">
        <v>90</v>
      </c>
      <c r="AM54" s="1423" t="n">
        <v>15</v>
      </c>
    </row>
    <row r="55" ht="96" customHeight="1">
      <c r="A55" s="652" t="str">
        <v>۱۴۰۵/۰۷/۰۳</v>
      </c>
      <c r="B55" s="290" t="str">
        <v>جمعه</v>
      </c>
      <c r="C55" s="281" t="str">
        <v>[۱۵۰ دقیقه | آسیب‌شناسی روانی] مطالعه فصل ۱۵: اختلالات اخلالگرانه، کنترل تکانه و سلوک، ص ۵۱۳ تا ۵۳۲ (U046)، ۸۷ دقیقه + بازیابیِ بسته‌کتاب همان‌جلسه، ۲۰ دقیقه + بازخورد و اصلاح، ۱۰ دقیقه + مرور D+1 برای U045، ۵ دقیقه + آزمونک ۷ سؤالی و تحلیل کامل، ۲۸ دقیقه</v>
      </c>
      <c r="D55" s="281" t="str">
        <v>ایستگاه جبرانی و تثبیت — [۹۰ دقیقه | آسیب‌شناسی روانی] اولویت: بالاترین تکلیف ناتمام هفته؛ جایگزین ازپیش‌تعریف‌شده: مرور D+1 برای U045 و اصلاح دفتر خطا، ۵۰ دقیقه + آزمون هدفمند ۱۰ سؤالی و تحلیل کامل، ۴۰ دقیقه</v>
      </c>
      <c r="E55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55" s="678" t="n">
        <v>17</v>
      </c>
      <c r="G55" s="290" t="str">
        <v>انجام‌نشده</v>
      </c>
      <c r="H55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55" s="1422" t="n">
        <v>46290</v>
      </c>
      <c r="J55" s="1423" t="n">
        <v>54</v>
      </c>
      <c r="K55" s="1423" t="n">
        <v>8</v>
      </c>
      <c r="L55" s="1423" t="n">
        <v>150</v>
      </c>
      <c r="M55" s="1423" t="n">
        <v>90</v>
      </c>
      <c r="N55" s="1423" t="str">
        <v>آسیب‌شناسی روانی</v>
      </c>
      <c r="O55" s="1423" t="str">
        <v>آسیب‌شناسی روانی</v>
      </c>
      <c r="P55" s="1423" t="str">
        <v>U046</v>
      </c>
      <c r="Q55" s="1423" t="str">
        <v>ایستگاه جبرانی</v>
      </c>
      <c r="R55" s="1423" t="n">
        <v>20</v>
      </c>
      <c r="S55" s="1423" t="n">
        <v>0</v>
      </c>
      <c r="T55" s="1423" t="n">
        <v>87</v>
      </c>
      <c r="U55" s="1423" t="n">
        <v>20</v>
      </c>
      <c r="V55" s="1423" t="n">
        <v>55</v>
      </c>
      <c r="W55" s="1423" t="n">
        <v>32</v>
      </c>
      <c r="X55" s="1423" t="n">
        <v>36</v>
      </c>
      <c r="Y55" s="1423" t="n">
        <v>90</v>
      </c>
      <c r="Z55" s="1423" t="n">
        <v>7</v>
      </c>
      <c r="AA55" s="1423" t="n">
        <v>10</v>
      </c>
      <c r="AB55" s="1423" t="n">
        <f>IF(G55="انجام‌شده",1,IF(G55="نیمه‌انجام",0.5,0))</f>
        <v>0</v>
      </c>
      <c r="AC55" s="1423" t="str">
        <v>بله</v>
      </c>
      <c r="AD55" s="1423" t="n">
        <v>1</v>
      </c>
      <c r="AE55" s="1423" t="n">
        <f>IF(OR(AG55&lt;&gt;240,AD55&gt;2,AND(AC55="بله",OR(L55&lt;&gt;150,M55&lt;&gt;90))),1,0)</f>
        <v>0</v>
      </c>
      <c r="AF55" s="1423" t="str">
        <f>IF(AE55=0,"معتبر","نیازمند بررسی")</f>
        <v>معتبر</v>
      </c>
      <c r="AG55" s="1423" t="n">
        <v>240</v>
      </c>
      <c r="AH55" s="1423" t="n">
        <v>68</v>
      </c>
      <c r="AI55" s="1423" t="n">
        <v>20</v>
      </c>
      <c r="AJ55" s="1423" t="n">
        <v>17</v>
      </c>
      <c r="AK55" s="1423" t="n">
        <v>150</v>
      </c>
      <c r="AL55" s="1423" t="n">
        <v>90</v>
      </c>
      <c r="AM55" s="1423" t="n">
        <v>10</v>
      </c>
    </row>
    <row r="56" ht="96" customHeight="1">
      <c r="A56" s="648" t="str">
        <v>۱۴۰۵/۰۷/۰۴</v>
      </c>
      <c r="B56" s="378" t="str">
        <v>شنبه</v>
      </c>
      <c r="C56" s="367" t="str">
        <v>[۱۵۰ دقیقه | نظریه‌های روان‌درمانی پروچاسکا] مطالعه فصل ۱۳: درمان‌های حساس به جنسیت، ص ۶۳۷ تا ۶۶۲ (U114)؛ فصل ۱۴: درمان‌های چندفرهنگی، ص ۶۶۳ تا ۶۶۳ (U115)، ۸۷ دقیقه + بازیابیِ بسته‌کتاب همان‌جلسه، ۲۰ دقیقه + بازخورد و اصلاح، ۱۰ دقیقه + مرور D+3/D+7/D+14/D+28 برای U089، U102 و ۴ واحد دیگر، ۵ دقیقه + آزمونک ۷ سؤالی و تحلیل کامل، ۲۸ دقیقه</v>
      </c>
      <c r="D56" s="367" t="str">
        <v>[۹۰ دقیقه | روان‌شناسی رشد کرین] مطالعه فصل ۱۱: نظریه روان‌تحلیلی فروید، ص ۴۳۰ تا ۴۳۵ (U162)، ۲۵ دقیقه + بازیابیِ بسته‌کتاب همان‌جلسه، ۱۰ دقیقه + بازخورد و اصلاح، ۵ دقیقه + مرور D+1/D+3/D+7/D+14/D+28 برای U141، U142، U150، U151 و ۴ واحد دیگر، ۱۰ دقیقه + آزمونک ۱۰ سؤالی و تحلیل کامل، ۴۰ دقیقه</v>
      </c>
      <c r="E5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6" s="678" t="n">
        <v>17</v>
      </c>
      <c r="G56" s="378" t="str">
        <v>انجام‌نشده</v>
      </c>
      <c r="H56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56" s="1422" t="n">
        <v>46291</v>
      </c>
      <c r="J56" s="1423" t="n">
        <v>55</v>
      </c>
      <c r="K56" s="1423" t="n">
        <v>9</v>
      </c>
      <c r="L56" s="1423" t="n">
        <v>150</v>
      </c>
      <c r="M56" s="1423" t="n">
        <v>90</v>
      </c>
      <c r="N56" s="1423" t="str">
        <v>نظریه‌های روان‌درمانی پروچاسکا</v>
      </c>
      <c r="O56" s="1423" t="str">
        <v>روان‌شناسی رشد کرین</v>
      </c>
      <c r="P56" s="1423" t="str">
        <v>U114، U115</v>
      </c>
      <c r="Q56" s="1423" t="str">
        <v>U162</v>
      </c>
      <c r="R56" s="1423" t="n">
        <v>27</v>
      </c>
      <c r="S56" s="1423" t="n">
        <v>6</v>
      </c>
      <c r="T56" s="1423" t="n">
        <v>112</v>
      </c>
      <c r="U56" s="1423" t="n">
        <v>30</v>
      </c>
      <c r="V56" s="1423" t="n">
        <v>15</v>
      </c>
      <c r="W56" s="1423" t="n">
        <v>32</v>
      </c>
      <c r="X56" s="1423" t="n">
        <v>36</v>
      </c>
      <c r="Y56" s="1423" t="n">
        <v>0</v>
      </c>
      <c r="Z56" s="1423" t="n">
        <v>7</v>
      </c>
      <c r="AA56" s="1423" t="n">
        <v>10</v>
      </c>
      <c r="AB56" s="1423" t="n">
        <f>IF(G56="انجام‌شده",1,IF(G56="نیمه‌انجام",0.5,0))</f>
        <v>0</v>
      </c>
      <c r="AC56" s="1423" t="str">
        <v>خیر</v>
      </c>
      <c r="AD56" s="1423" t="n">
        <v>2</v>
      </c>
      <c r="AE56" s="1423" t="n">
        <f>IF(OR(AG56&lt;&gt;240,AD56&gt;2,AND(AC56="بله",OR(L56&lt;&gt;150,M56&lt;&gt;90))),1,0)</f>
        <v>0</v>
      </c>
      <c r="AF56" s="1423" t="str">
        <f>IF(AE56=0,"معتبر","نیازمند بررسی")</f>
        <v>معتبر</v>
      </c>
      <c r="AG56" s="1423" t="n">
        <v>240</v>
      </c>
      <c r="AH56" s="1423" t="n">
        <v>68</v>
      </c>
      <c r="AI56" s="1423" t="n">
        <v>33</v>
      </c>
      <c r="AJ56" s="1423" t="n">
        <v>17</v>
      </c>
      <c r="AK56" s="1423" t="n">
        <v>150</v>
      </c>
      <c r="AL56" s="1423" t="n">
        <v>90</v>
      </c>
      <c r="AM56" s="1423" t="n">
        <v>15</v>
      </c>
    </row>
    <row r="57" ht="96" customHeight="1">
      <c r="A57" s="652" t="str">
        <v>۱۴۰۵/۰۷/۰۵</v>
      </c>
      <c r="B57" s="290" t="str">
        <v>یکشنبه</v>
      </c>
      <c r="C57" s="281" t="str">
        <v>[۱۵۰ دقیقه | آسیب‌شناسی روانی] مطالعه فصل ۱۵: اختلالات اخلالگرانه، کنترل تکانه و سلوک، ص ۵۳۳ تا ۵۳۸ (U047)؛ فصل ۱۶: اختلالات مرتبط با مواد و اعتیادآور، ص ۵۳۹ تا ۵۵۲ (U048)، ۸۷ دقیقه + بازیابیِ بسته‌کتاب همان‌جلسه، ۲۰ دقیقه + بازخورد و اصلاح، ۱۰ دقیقه + مرور D+1/D+3/D+7/D+14/D+28 برای U023، U024 و ۸ واحد دیگر، ۵ دقیقه + آزمونک ۷ سؤالی و تحلیل کامل، ۲۸ دقیقه</v>
      </c>
      <c r="D57" s="281" t="str">
        <v>[۹۰ دقیقه | روان‌شناسی رشد کرین] مطالعه فصل ۱۱: نظریه روان‌تحلیلی فروید، ص ۴۳۶ تا ۴۴۰ (U163)؛ فصل ۱۲: اریکسون و هشت مرحله زندگی، ص ۴۴۱ تا ۴۴۱ (U164)، ۲۵ دقیقه + بازیابیِ بسته‌کتاب همان‌جلسه، ۱۰ دقیقه + بازخورد و اصلاح، ۵ دقیقه + مرور D+1/D+3/D+7 برای U157، U161، U162، ۱۰ دقیقه + آزمونک ۱۰ سؤالی و تحلیل کامل، ۴۰ دقیقه</v>
      </c>
      <c r="E5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7" s="678" t="n">
        <v>17</v>
      </c>
      <c r="G57" s="290" t="str">
        <v>انجام‌نشده</v>
      </c>
      <c r="H57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57" s="1422" t="n">
        <v>46292</v>
      </c>
      <c r="J57" s="1423" t="n">
        <v>56</v>
      </c>
      <c r="K57" s="1423" t="n">
        <v>9</v>
      </c>
      <c r="L57" s="1423" t="n">
        <v>150</v>
      </c>
      <c r="M57" s="1423" t="n">
        <v>90</v>
      </c>
      <c r="N57" s="1423" t="str">
        <v>آسیب‌شناسی روانی</v>
      </c>
      <c r="O57" s="1423" t="str">
        <v>روان‌شناسی رشد کرین</v>
      </c>
      <c r="P57" s="1423" t="str">
        <v>U047، U048</v>
      </c>
      <c r="Q57" s="1423" t="str">
        <v>U163، U164</v>
      </c>
      <c r="R57" s="1423" t="n">
        <v>20</v>
      </c>
      <c r="S57" s="1423" t="n">
        <v>6</v>
      </c>
      <c r="T57" s="1423" t="n">
        <v>112</v>
      </c>
      <c r="U57" s="1423" t="n">
        <v>30</v>
      </c>
      <c r="V57" s="1423" t="n">
        <v>15</v>
      </c>
      <c r="W57" s="1423" t="n">
        <v>32</v>
      </c>
      <c r="X57" s="1423" t="n">
        <v>36</v>
      </c>
      <c r="Y57" s="1423" t="n">
        <v>0</v>
      </c>
      <c r="Z57" s="1423" t="n">
        <v>7</v>
      </c>
      <c r="AA57" s="1423" t="n">
        <v>10</v>
      </c>
      <c r="AB57" s="1423" t="n">
        <f>IF(G57="انجام‌شده",1,IF(G57="نیمه‌انجام",0.5,0))</f>
        <v>0</v>
      </c>
      <c r="AC57" s="1423" t="str">
        <v>خیر</v>
      </c>
      <c r="AD57" s="1423" t="n">
        <v>2</v>
      </c>
      <c r="AE57" s="1423" t="n">
        <f>IF(OR(AG57&lt;&gt;240,AD57&gt;2,AND(AC57="بله",OR(L57&lt;&gt;150,M57&lt;&gt;90))),1,0)</f>
        <v>0</v>
      </c>
      <c r="AF57" s="1423" t="str">
        <f>IF(AE57=0,"معتبر","نیازمند بررسی")</f>
        <v>معتبر</v>
      </c>
      <c r="AG57" s="1423" t="n">
        <v>240</v>
      </c>
      <c r="AH57" s="1423" t="n">
        <v>68</v>
      </c>
      <c r="AI57" s="1423" t="n">
        <v>26</v>
      </c>
      <c r="AJ57" s="1423" t="n">
        <v>17</v>
      </c>
      <c r="AK57" s="1423" t="n">
        <v>150</v>
      </c>
      <c r="AL57" s="1423" t="n">
        <v>90</v>
      </c>
      <c r="AM57" s="1423" t="n">
        <v>15</v>
      </c>
    </row>
    <row r="58" ht="96" customHeight="1">
      <c r="A58" s="648" t="str">
        <v>۱۴۰۵/۰۷/۰۶</v>
      </c>
      <c r="B58" s="378" t="str">
        <v>دوشنبه</v>
      </c>
      <c r="C58" s="367" t="str">
        <v>[۱۵۰ دقیقه | نظریه‌های روان‌درمانی پروچاسکا] مطالعه فصل ۱۴: درمان‌های چندفرهنگی، ص ۶۶۴ تا ۶۹۰ (U116)، ۸۷ دقیقه + بازیابیِ بسته‌کتاب همان‌جلسه، ۲۰ دقیقه + بازخورد و اصلاح، ۱۰ دقیقه + مرور D+1/D+7/D+14/D+28 برای U090، U091 و ۵ واحد دیگر، ۵ دقیقه + آزمونک ۷ سؤالی و تحلیل کامل، ۲۸ دقیقه</v>
      </c>
      <c r="D58" s="367" t="str">
        <v>[۹۰ دقیقه | روان‌شناسی رشد کرین] مطالعه فصل ۱۲: اریکسون و هشت مرحله زندگی، ص ۴۴۲ تا ۴۴۷ (U165)، ۲۵ دقیقه + بازیابیِ بسته‌کتاب همان‌جلسه، ۱۰ دقیقه + بازخورد و اصلاح، ۵ دقیقه + مرور D+1/D+7/D+14/D+28 برای U143، U152، U158، U163 و ۱ واحد دیگر، ۱۰ دقیقه + آزمونک ۱۰ سؤالی و تحلیل کامل، ۴۰ دقیقه</v>
      </c>
      <c r="E5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8" s="678" t="n">
        <v>17</v>
      </c>
      <c r="G58" s="378" t="str">
        <v>انجام‌نشده</v>
      </c>
      <c r="H58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58" s="1422" t="n">
        <v>46293</v>
      </c>
      <c r="J58" s="1423" t="n">
        <v>57</v>
      </c>
      <c r="K58" s="1423" t="n">
        <v>9</v>
      </c>
      <c r="L58" s="1423" t="n">
        <v>150</v>
      </c>
      <c r="M58" s="1423" t="n">
        <v>90</v>
      </c>
      <c r="N58" s="1423" t="str">
        <v>نظریه‌های روان‌درمانی پروچاسکا</v>
      </c>
      <c r="O58" s="1423" t="str">
        <v>روان‌شناسی رشد کرین</v>
      </c>
      <c r="P58" s="1423" t="str">
        <v>U116</v>
      </c>
      <c r="Q58" s="1423" t="str">
        <v>U165</v>
      </c>
      <c r="R58" s="1423" t="n">
        <v>27</v>
      </c>
      <c r="S58" s="1423" t="n">
        <v>6</v>
      </c>
      <c r="T58" s="1423" t="n">
        <v>112</v>
      </c>
      <c r="U58" s="1423" t="n">
        <v>30</v>
      </c>
      <c r="V58" s="1423" t="n">
        <v>15</v>
      </c>
      <c r="W58" s="1423" t="n">
        <v>32</v>
      </c>
      <c r="X58" s="1423" t="n">
        <v>36</v>
      </c>
      <c r="Y58" s="1423" t="n">
        <v>0</v>
      </c>
      <c r="Z58" s="1423" t="n">
        <v>7</v>
      </c>
      <c r="AA58" s="1423" t="n">
        <v>10</v>
      </c>
      <c r="AB58" s="1423" t="n">
        <f>IF(G58="انجام‌شده",1,IF(G58="نیمه‌انجام",0.5,0))</f>
        <v>0</v>
      </c>
      <c r="AC58" s="1423" t="str">
        <v>خیر</v>
      </c>
      <c r="AD58" s="1423" t="n">
        <v>2</v>
      </c>
      <c r="AE58" s="1423" t="n">
        <f>IF(OR(AG58&lt;&gt;240,AD58&gt;2,AND(AC58="بله",OR(L58&lt;&gt;150,M58&lt;&gt;90))),1,0)</f>
        <v>0</v>
      </c>
      <c r="AF58" s="1423" t="str">
        <f>IF(AE58=0,"معتبر","نیازمند بررسی")</f>
        <v>معتبر</v>
      </c>
      <c r="AG58" s="1423" t="n">
        <v>240</v>
      </c>
      <c r="AH58" s="1423" t="n">
        <v>68</v>
      </c>
      <c r="AI58" s="1423" t="n">
        <v>33</v>
      </c>
      <c r="AJ58" s="1423" t="n">
        <v>17</v>
      </c>
      <c r="AK58" s="1423" t="n">
        <v>150</v>
      </c>
      <c r="AL58" s="1423" t="n">
        <v>90</v>
      </c>
      <c r="AM58" s="1423" t="n">
        <v>15</v>
      </c>
    </row>
    <row r="59" ht="96" customHeight="1">
      <c r="A59" s="652" t="str">
        <v>۱۴۰۵/۰۷/۰۷</v>
      </c>
      <c r="B59" s="290" t="str">
        <v>سه‌شنبه</v>
      </c>
      <c r="C59" s="281" t="str">
        <v>[۱۵۰ دقیقه | روان‌شناسی رشد کرین] مطالعه فصل ۱۲: اریکسون و هشت مرحله زندگی، ص ۴۴۸ تا ۴۶۷ (U166)، ۸۷ دقیقه + بازیابیِ بسته‌کتاب همان‌جلسه، ۲۰ دقیقه + بازخورد و اصلاح، ۱۰ دقیقه + مرور D+1/D+3/D+7/D+14 برای U153، U154 و ۴ واحد دیگر، ۵ دقیقه + آزمونک ۷ سؤالی و تحلیل کامل، ۲۸ دقیقه</v>
      </c>
      <c r="D59" s="281" t="str">
        <v>[۹۰ دقیقه | آسیب‌شناسی روانی] مطالعه فصل ۱۶: اختلالات مرتبط با مواد و اعتیادآور، ص ۵۵۳ تا ۵۵۴ (U049)؛ فصل ۱۷: اختلالات عصبی ـ شناختی، ص ۵۵۵ تا ۵۵۸ (U050)، ۲۵ دقیقه + بازیابیِ بسته‌کتاب همان‌جلسه، ۱۰ دقیقه + بازخورد و اصلاح، ۵ دقیقه + مرور D+1/D+3/D+7/D+14/D+28 برای U025، U026، U037، U038 و ۵ واحد دیگر، ۱۰ دقیقه + آزمونک ۱۰ سؤالی و تحلیل کامل، ۴۰ دقیقه</v>
      </c>
      <c r="E59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9" s="678" t="n">
        <v>17</v>
      </c>
      <c r="G59" s="290" t="str">
        <v>انجام‌نشده</v>
      </c>
      <c r="H59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59" s="1422" t="n">
        <v>46294</v>
      </c>
      <c r="J59" s="1423" t="n">
        <v>58</v>
      </c>
      <c r="K59" s="1423" t="n">
        <v>9</v>
      </c>
      <c r="L59" s="1423" t="n">
        <v>150</v>
      </c>
      <c r="M59" s="1423" t="n">
        <v>90</v>
      </c>
      <c r="N59" s="1423" t="str">
        <v>روان‌شناسی رشد کرین</v>
      </c>
      <c r="O59" s="1423" t="str">
        <v>آسیب‌شناسی روانی</v>
      </c>
      <c r="P59" s="1423" t="str">
        <v>U166</v>
      </c>
      <c r="Q59" s="1423" t="str">
        <v>U049، U050</v>
      </c>
      <c r="R59" s="1423" t="n">
        <v>20</v>
      </c>
      <c r="S59" s="1423" t="n">
        <v>6</v>
      </c>
      <c r="T59" s="1423" t="n">
        <v>112</v>
      </c>
      <c r="U59" s="1423" t="n">
        <v>30</v>
      </c>
      <c r="V59" s="1423" t="n">
        <v>15</v>
      </c>
      <c r="W59" s="1423" t="n">
        <v>32</v>
      </c>
      <c r="X59" s="1423" t="n">
        <v>36</v>
      </c>
      <c r="Y59" s="1423" t="n">
        <v>0</v>
      </c>
      <c r="Z59" s="1423" t="n">
        <v>7</v>
      </c>
      <c r="AA59" s="1423" t="n">
        <v>10</v>
      </c>
      <c r="AB59" s="1423" t="n">
        <f>IF(G59="انجام‌شده",1,IF(G59="نیمه‌انجام",0.5,0))</f>
        <v>0</v>
      </c>
      <c r="AC59" s="1423" t="str">
        <v>خیر</v>
      </c>
      <c r="AD59" s="1423" t="n">
        <v>2</v>
      </c>
      <c r="AE59" s="1423" t="n">
        <f>IF(OR(AG59&lt;&gt;240,AD59&gt;2,AND(AC59="بله",OR(L59&lt;&gt;150,M59&lt;&gt;90))),1,0)</f>
        <v>0</v>
      </c>
      <c r="AF59" s="1423" t="str">
        <f>IF(AE59=0,"معتبر","نیازمند بررسی")</f>
        <v>معتبر</v>
      </c>
      <c r="AG59" s="1423" t="n">
        <v>240</v>
      </c>
      <c r="AH59" s="1423" t="n">
        <v>68</v>
      </c>
      <c r="AI59" s="1423" t="n">
        <v>26</v>
      </c>
      <c r="AJ59" s="1423" t="n">
        <v>17</v>
      </c>
      <c r="AK59" s="1423" t="n">
        <v>150</v>
      </c>
      <c r="AL59" s="1423" t="n">
        <v>90</v>
      </c>
      <c r="AM59" s="1423" t="n">
        <v>15</v>
      </c>
    </row>
    <row r="60" ht="96" customHeight="1">
      <c r="A60" s="648" t="str">
        <v>۱۴۰۵/۰۷/۰۸</v>
      </c>
      <c r="B60" s="378" t="str">
        <v>چهارشنبه</v>
      </c>
      <c r="C60" s="367" t="str">
        <v>[۱۵۰ دقیقه | نظریه‌های روان‌درمانی پروچاسکا] مطالعه فصل ۱۴: درمان‌های چندفرهنگی، ص ۶۹۱ تا ۷۰۶ (U117)؛ فصل ۱۵: درمان‌های سازه‌نگر: درمان متمرکز بر راه‌حل و قصه‌درمانی، ص ۷۰۷ تا ۷۱۷ (U118)، ۸۷ دقیقه + بازیابیِ بسته‌کتاب همان‌جلسه، ۲۰ دقیقه + بازخورد و اصلاح، ۱۰ دقیقه + مرور D+1/D+3/D+7/D+14/D+28 برای U092، U093 و ۱۵ واحد دیگر، ۵ دقیقه + آزمونک ۷ سؤالی و تحلیل کامل، ۲۸ دقیقه</v>
      </c>
      <c r="D60" s="367" t="str">
        <v>[۹۰ دقیقه | آسیب‌شناسی روانی] مطالعه فصل ۱۷: اختلالات عصبی ـ شناختی، ص ۵۵۹ تا ۵۶۴ (U051)، ۲۵ دقیقه + بازیابیِ بسته‌کتاب همان‌جلسه، ۱۰ دقیقه + بازخورد و اصلاح، ۵ دقیقه + مرور D+1/D+3/D+7/D+14 برای U039، U043، U044، U047 و ۳ واحد دیگر، ۱۰ دقیقه + آزمونک ۱۰ سؤالی و تحلیل کامل، ۴۰ دقیقه</v>
      </c>
      <c r="E6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0" s="678" t="n">
        <v>17</v>
      </c>
      <c r="G60" s="378" t="str">
        <v>انجام‌نشده</v>
      </c>
      <c r="H60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60" s="1422" t="n">
        <v>46295</v>
      </c>
      <c r="J60" s="1423" t="n">
        <v>59</v>
      </c>
      <c r="K60" s="1423" t="n">
        <v>9</v>
      </c>
      <c r="L60" s="1423" t="n">
        <v>150</v>
      </c>
      <c r="M60" s="1423" t="n">
        <v>90</v>
      </c>
      <c r="N60" s="1423" t="str">
        <v>نظریه‌های روان‌درمانی پروچاسکا</v>
      </c>
      <c r="O60" s="1423" t="str">
        <v>آسیب‌شناسی روانی</v>
      </c>
      <c r="P60" s="1423" t="str">
        <v>U117، U118</v>
      </c>
      <c r="Q60" s="1423" t="str">
        <v>U051</v>
      </c>
      <c r="R60" s="1423" t="n">
        <v>27</v>
      </c>
      <c r="S60" s="1423" t="n">
        <v>6</v>
      </c>
      <c r="T60" s="1423" t="n">
        <v>112</v>
      </c>
      <c r="U60" s="1423" t="n">
        <v>30</v>
      </c>
      <c r="V60" s="1423" t="n">
        <v>15</v>
      </c>
      <c r="W60" s="1423" t="n">
        <v>32</v>
      </c>
      <c r="X60" s="1423" t="n">
        <v>36</v>
      </c>
      <c r="Y60" s="1423" t="n">
        <v>0</v>
      </c>
      <c r="Z60" s="1423" t="n">
        <v>7</v>
      </c>
      <c r="AA60" s="1423" t="n">
        <v>10</v>
      </c>
      <c r="AB60" s="1423" t="n">
        <f>IF(G60="انجام‌شده",1,IF(G60="نیمه‌انجام",0.5,0))</f>
        <v>0</v>
      </c>
      <c r="AC60" s="1423" t="str">
        <v>خیر</v>
      </c>
      <c r="AD60" s="1423" t="n">
        <v>2</v>
      </c>
      <c r="AE60" s="1423" t="n">
        <f>IF(OR(AG60&lt;&gt;240,AD60&gt;2,AND(AC60="بله",OR(L60&lt;&gt;150,M60&lt;&gt;90))),1,0)</f>
        <v>0</v>
      </c>
      <c r="AF60" s="1423" t="str">
        <f>IF(AE60=0,"معتبر","نیازمند بررسی")</f>
        <v>معتبر</v>
      </c>
      <c r="AG60" s="1423" t="n">
        <v>240</v>
      </c>
      <c r="AH60" s="1423" t="n">
        <v>68</v>
      </c>
      <c r="AI60" s="1423" t="n">
        <v>33</v>
      </c>
      <c r="AJ60" s="1423" t="n">
        <v>17</v>
      </c>
      <c r="AK60" s="1423" t="n">
        <v>150</v>
      </c>
      <c r="AL60" s="1423" t="n">
        <v>90</v>
      </c>
      <c r="AM60" s="1423" t="n">
        <v>15</v>
      </c>
    </row>
    <row r="61" ht="96" customHeight="1">
      <c r="A61" s="652" t="str">
        <v>۱۴۰۵/۰۷/۰۹</v>
      </c>
      <c r="B61" s="290" t="str">
        <v>پنجشنبه</v>
      </c>
      <c r="C61" s="281" t="str">
        <v>[۱۵۰ دقیقه | روان‌شناسی رشد کرین] مطالعه فصل ۱۲: اریکسون و هشت مرحله زندگی، ص ۴۶۸ تا ۴۸۰ (U167)؛ فصل ۱۳: نظریه تفرد/جدایی ماهلر، ص ۴۸۱ تا ۴۸۷ (U168)، ۸۷ دقیقه + بازیابیِ بسته‌کتاب همان‌جلسه، ۲۰ دقیقه + بازخورد و اصلاح، ۱۰ دقیقه + مرور D+1/D+3/D+7/D+14/D+28 برای U144، U155 و ۵ واحد دیگر، ۵ دقیقه + آزمونک ۷ سؤالی و تحلیل کامل، ۲۸ دقیقه</v>
      </c>
      <c r="D61" s="281" t="str">
        <v>[۹۰ دقیقه | آسیب‌شناسی روانی] مطالعه فصل ۱۷: اختلالات عصبی ـ شناختی، ص ۵۶۵ تا ۵۷۰ (U052)، ۲۵ دقیقه + بازیابیِ بسته‌کتاب همان‌جلسه، ۱۰ دقیقه + بازخورد و اصلاح، ۵ دقیقه + مرور D+1/D+7/D+28 برای U027، U045، U051، ۱۰ دقیقه + آزمونک ۱۰ سؤالی و تحلیل کامل، ۴۰ دقیقه</v>
      </c>
      <c r="E6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1" s="678" t="n">
        <v>17</v>
      </c>
      <c r="G61" s="290" t="str">
        <v>انجام‌نشده</v>
      </c>
      <c r="H61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61" s="1422" t="n">
        <v>46296</v>
      </c>
      <c r="J61" s="1423" t="n">
        <v>60</v>
      </c>
      <c r="K61" s="1423" t="n">
        <v>9</v>
      </c>
      <c r="L61" s="1423" t="n">
        <v>150</v>
      </c>
      <c r="M61" s="1423" t="n">
        <v>90</v>
      </c>
      <c r="N61" s="1423" t="str">
        <v>روان‌شناسی رشد کرین</v>
      </c>
      <c r="O61" s="1423" t="str">
        <v>آسیب‌شناسی روانی</v>
      </c>
      <c r="P61" s="1423" t="str">
        <v>U167، U168</v>
      </c>
      <c r="Q61" s="1423" t="str">
        <v>U052</v>
      </c>
      <c r="R61" s="1423" t="n">
        <v>20</v>
      </c>
      <c r="S61" s="1423" t="n">
        <v>6</v>
      </c>
      <c r="T61" s="1423" t="n">
        <v>112</v>
      </c>
      <c r="U61" s="1423" t="n">
        <v>30</v>
      </c>
      <c r="V61" s="1423" t="n">
        <v>15</v>
      </c>
      <c r="W61" s="1423" t="n">
        <v>32</v>
      </c>
      <c r="X61" s="1423" t="n">
        <v>36</v>
      </c>
      <c r="Y61" s="1423" t="n">
        <v>0</v>
      </c>
      <c r="Z61" s="1423" t="n">
        <v>7</v>
      </c>
      <c r="AA61" s="1423" t="n">
        <v>10</v>
      </c>
      <c r="AB61" s="1423" t="n">
        <f>IF(G61="انجام‌شده",1,IF(G61="نیمه‌انجام",0.5,0))</f>
        <v>0</v>
      </c>
      <c r="AC61" s="1423" t="str">
        <v>خیر</v>
      </c>
      <c r="AD61" s="1423" t="n">
        <v>2</v>
      </c>
      <c r="AE61" s="1423" t="n">
        <f>IF(OR(AG61&lt;&gt;240,AD61&gt;2,AND(AC61="بله",OR(L61&lt;&gt;150,M61&lt;&gt;90))),1,0)</f>
        <v>0</v>
      </c>
      <c r="AF61" s="1423" t="str">
        <f>IF(AE61=0,"معتبر","نیازمند بررسی")</f>
        <v>معتبر</v>
      </c>
      <c r="AG61" s="1423" t="n">
        <v>240</v>
      </c>
      <c r="AH61" s="1423" t="n">
        <v>68</v>
      </c>
      <c r="AI61" s="1423" t="n">
        <v>26</v>
      </c>
      <c r="AJ61" s="1423" t="n">
        <v>17</v>
      </c>
      <c r="AK61" s="1423" t="n">
        <v>150</v>
      </c>
      <c r="AL61" s="1423" t="n">
        <v>90</v>
      </c>
      <c r="AM61" s="1423" t="n">
        <v>15</v>
      </c>
    </row>
    <row r="62" ht="96" customHeight="1">
      <c r="A62" s="648" t="str">
        <v>۱۴۰۵/۰۷/۱۰</v>
      </c>
      <c r="B62" s="378" t="str">
        <v>جمعه</v>
      </c>
      <c r="C62" s="367" t="str">
        <v>[۱۵۰ دقیقه | آسیب‌شناسی روانی] مطالعه فصل ۱۷: اختلالات عصبی ـ شناختی، ص ۵۷۱ تا ۵۷۴ (U053)؛ فصل ۱۸: اختلالات شخصیت، ص ۵۷۵ تا ۵۹۰ (U054)، ۸۷ دقیقه + بازیابیِ بسته‌کتاب همان‌جلسه، ۲۰ دقیقه + بازخورد و اصلاح، ۱۰ دقیقه + مرور D+1/D+3/D+7 برای U046، U049 و ۲ واحد دیگر، ۵ دقیقه + آزمونک ۷ سؤالی و تحلیل کامل، ۲۸ دقیقه</v>
      </c>
      <c r="D62" s="367" t="str">
        <v>ایستگاه جبرانی و تثبیت — [۹۰ دقیقه | آسیب‌شناسی روانی] اولویت: بالاترین تکلیف ناتمام هفته؛ جایگزین ازپیش‌تعریف‌شده: مرور D+1/D+3/D+7 برای U046، U049، U050، U052 و اصلاح دفتر خطا، ۵۰ دقیقه + آزمون هدفمند ۱۰ سؤالی و تحلیل کامل، ۴۰ دقیقه</v>
      </c>
      <c r="E62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62" s="678" t="n">
        <v>17</v>
      </c>
      <c r="G62" s="378" t="str">
        <v>انجام‌نشده</v>
      </c>
      <c r="H62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62" s="1422" t="n">
        <v>46297</v>
      </c>
      <c r="J62" s="1423" t="n">
        <v>61</v>
      </c>
      <c r="K62" s="1423" t="n">
        <v>9</v>
      </c>
      <c r="L62" s="1423" t="n">
        <v>150</v>
      </c>
      <c r="M62" s="1423" t="n">
        <v>90</v>
      </c>
      <c r="N62" s="1423" t="str">
        <v>آسیب‌شناسی روانی</v>
      </c>
      <c r="O62" s="1423" t="str">
        <v>آسیب‌شناسی روانی</v>
      </c>
      <c r="P62" s="1423" t="str">
        <v>U053، U054</v>
      </c>
      <c r="Q62" s="1423" t="str">
        <v>ایستگاه جبرانی</v>
      </c>
      <c r="R62" s="1423" t="n">
        <v>20</v>
      </c>
      <c r="S62" s="1423" t="n">
        <v>0</v>
      </c>
      <c r="T62" s="1423" t="n">
        <v>87</v>
      </c>
      <c r="U62" s="1423" t="n">
        <v>20</v>
      </c>
      <c r="V62" s="1423" t="n">
        <v>55</v>
      </c>
      <c r="W62" s="1423" t="n">
        <v>32</v>
      </c>
      <c r="X62" s="1423" t="n">
        <v>36</v>
      </c>
      <c r="Y62" s="1423" t="n">
        <v>90</v>
      </c>
      <c r="Z62" s="1423" t="n">
        <v>7</v>
      </c>
      <c r="AA62" s="1423" t="n">
        <v>10</v>
      </c>
      <c r="AB62" s="1423" t="n">
        <f>IF(G62="انجام‌شده",1,IF(G62="نیمه‌انجام",0.5,0))</f>
        <v>0</v>
      </c>
      <c r="AC62" s="1423" t="str">
        <v>بله</v>
      </c>
      <c r="AD62" s="1423" t="n">
        <v>1</v>
      </c>
      <c r="AE62" s="1423" t="n">
        <f>IF(OR(AG62&lt;&gt;240,AD62&gt;2,AND(AC62="بله",OR(L62&lt;&gt;150,M62&lt;&gt;90))),1,0)</f>
        <v>0</v>
      </c>
      <c r="AF62" s="1423" t="str">
        <f>IF(AE62=0,"معتبر","نیازمند بررسی")</f>
        <v>معتبر</v>
      </c>
      <c r="AG62" s="1423" t="n">
        <v>240</v>
      </c>
      <c r="AH62" s="1423" t="n">
        <v>68</v>
      </c>
      <c r="AI62" s="1423" t="n">
        <v>20</v>
      </c>
      <c r="AJ62" s="1423" t="n">
        <v>17</v>
      </c>
      <c r="AK62" s="1423" t="n">
        <v>150</v>
      </c>
      <c r="AL62" s="1423" t="n">
        <v>90</v>
      </c>
      <c r="AM62" s="1423" t="n">
        <v>10</v>
      </c>
    </row>
    <row r="63" ht="96" customHeight="1">
      <c r="A63" s="652" t="str">
        <v>۱۴۰۵/۰۷/۱۱</v>
      </c>
      <c r="B63" s="290" t="str">
        <v>شنبه</v>
      </c>
      <c r="C63" s="281" t="str">
        <v>[۱۵۰ دقیقه | نظریه‌های روان‌درمانی پروچاسکا] مطالعه فصل ۱۵: درمان‌های سازه‌نگر: درمان متمرکز بر راه‌حل و قصه‌درمانی، ص ۷۱۸ تا ۷۴۲ (U119)؛ فصل ۱۶: درمان‌های یکپارچه‌نگر، ص ۷۴۳ تا ۷۴۴ (U120)، ۸۷ دقیقه + بازیابیِ بسته‌کتاب همان‌جلسه، ۲۰ دقیقه + بازخورد و اصلاح، ۱۰ دقیقه + مرور D+3/D+7/D+14/D+28 برای U096، U109 و ۴ واحد دیگر، ۵ دقیقه + آزمونک ۷ سؤالی و تحلیل کامل، ۲۸ دقیقه</v>
      </c>
      <c r="D63" s="281" t="str">
        <v>[۹۰ دقیقه | روان‌شناسی رشد کرین] مطالعه فصل ۱۳: نظریه تفرد/جدایی ماهلر، ص ۴۸۸ تا ۴۹۳ (U169)، ۲۵ دقیقه + بازیابیِ بسته‌کتاب همان‌جلسه، ۱۰ دقیقه + بازخورد و اصلاح، ۵ دقیقه + مرور D+1/D+3/D+7/D+14/D+28 برای U145، U146، U156، U162 و ۳ واحد دیگر، ۱۰ دقیقه + آزمونک ۱۰ سؤالی و تحلیل کامل، ۴۰ دقیقه</v>
      </c>
      <c r="E6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3" s="678" t="n">
        <v>17</v>
      </c>
      <c r="G63" s="290" t="str">
        <v>انجام‌نشده</v>
      </c>
      <c r="H63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63" s="1422" t="n">
        <v>46298</v>
      </c>
      <c r="J63" s="1423" t="n">
        <v>62</v>
      </c>
      <c r="K63" s="1423" t="n">
        <v>10</v>
      </c>
      <c r="L63" s="1423" t="n">
        <v>150</v>
      </c>
      <c r="M63" s="1423" t="n">
        <v>90</v>
      </c>
      <c r="N63" s="1423" t="str">
        <v>نظریه‌های روان‌درمانی پروچاسکا</v>
      </c>
      <c r="O63" s="1423" t="str">
        <v>روان‌شناسی رشد کرین</v>
      </c>
      <c r="P63" s="1423" t="str">
        <v>U119، U120</v>
      </c>
      <c r="Q63" s="1423" t="str">
        <v>U169</v>
      </c>
      <c r="R63" s="1423" t="n">
        <v>27</v>
      </c>
      <c r="S63" s="1423" t="n">
        <v>6</v>
      </c>
      <c r="T63" s="1423" t="n">
        <v>112</v>
      </c>
      <c r="U63" s="1423" t="n">
        <v>30</v>
      </c>
      <c r="V63" s="1423" t="n">
        <v>15</v>
      </c>
      <c r="W63" s="1423" t="n">
        <v>32</v>
      </c>
      <c r="X63" s="1423" t="n">
        <v>36</v>
      </c>
      <c r="Y63" s="1423" t="n">
        <v>0</v>
      </c>
      <c r="Z63" s="1423" t="n">
        <v>7</v>
      </c>
      <c r="AA63" s="1423" t="n">
        <v>10</v>
      </c>
      <c r="AB63" s="1423" t="n">
        <f>IF(G63="انجام‌شده",1,IF(G63="نیمه‌انجام",0.5,0))</f>
        <v>0</v>
      </c>
      <c r="AC63" s="1423" t="str">
        <v>خیر</v>
      </c>
      <c r="AD63" s="1423" t="n">
        <v>2</v>
      </c>
      <c r="AE63" s="1423" t="n">
        <f>IF(OR(AG63&lt;&gt;240,AD63&gt;2,AND(AC63="بله",OR(L63&lt;&gt;150,M63&lt;&gt;90))),1,0)</f>
        <v>0</v>
      </c>
      <c r="AF63" s="1423" t="str">
        <f>IF(AE63=0,"معتبر","نیازمند بررسی")</f>
        <v>معتبر</v>
      </c>
      <c r="AG63" s="1423" t="n">
        <v>240</v>
      </c>
      <c r="AH63" s="1423" t="n">
        <v>68</v>
      </c>
      <c r="AI63" s="1423" t="n">
        <v>33</v>
      </c>
      <c r="AJ63" s="1423" t="n">
        <v>17</v>
      </c>
      <c r="AK63" s="1423" t="n">
        <v>150</v>
      </c>
      <c r="AL63" s="1423" t="n">
        <v>90</v>
      </c>
      <c r="AM63" s="1423" t="n">
        <v>15</v>
      </c>
    </row>
    <row r="64" ht="96" customHeight="1">
      <c r="A64" s="648" t="str">
        <v>۱۴۰۵/۰۷/۱۲</v>
      </c>
      <c r="B64" s="378" t="str">
        <v>یکشنبه</v>
      </c>
      <c r="C64" s="367" t="str">
        <v>[۱۵۰ دقیقه | آسیب‌شناسی روانی] مطالعه فصل ۱۸: اختلالات شخصیت، ص ۵۹۱ تا ۶۱۰ (U055)، ۸۷ دقیقه + بازیابیِ بسته‌کتاب همان‌جلسه، ۲۰ دقیقه + بازخورد و اصلاح، ۱۰ دقیقه + مرور D+1/D+3/D+7/D+14/D+28 برای U028، U029 و ۷ واحد دیگر، ۵ دقیقه + آزمونک ۷ سؤالی و تحلیل کامل، ۲۸ دقیقه</v>
      </c>
      <c r="D64" s="367" t="str">
        <v>[۹۰ دقیقه | روان‌شناسی رشد کرین] مطالعه فصل ۱۳: نظریه تفرد/جدایی ماهلر، ص ۴۹۴ تا ۴۹۹ (U170)، ۲۵ دقیقه + بازیابیِ بسته‌کتاب همان‌جلسه، ۱۰ دقیقه + بازخورد و اصلاح، ۵ دقیقه + مرور D+1/D+3/D+7/D+14 برای U157، U163، U164، U167 و ۲ واحد دیگر، ۱۰ دقیقه + آزمونک ۱۰ سؤالی و تحلیل کامل، ۴۰ دقیقه</v>
      </c>
      <c r="E6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4" s="678" t="n">
        <v>17</v>
      </c>
      <c r="G64" s="378" t="str">
        <v>انجام‌نشده</v>
      </c>
      <c r="H6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64" s="1422" t="n">
        <v>46299</v>
      </c>
      <c r="J64" s="1423" t="n">
        <v>63</v>
      </c>
      <c r="K64" s="1423" t="n">
        <v>10</v>
      </c>
      <c r="L64" s="1423" t="n">
        <v>150</v>
      </c>
      <c r="M64" s="1423" t="n">
        <v>90</v>
      </c>
      <c r="N64" s="1423" t="str">
        <v>آسیب‌شناسی روانی</v>
      </c>
      <c r="O64" s="1423" t="str">
        <v>روان‌شناسی رشد کرین</v>
      </c>
      <c r="P64" s="1423" t="str">
        <v>U055</v>
      </c>
      <c r="Q64" s="1423" t="str">
        <v>U170</v>
      </c>
      <c r="R64" s="1423" t="n">
        <v>20</v>
      </c>
      <c r="S64" s="1423" t="n">
        <v>6</v>
      </c>
      <c r="T64" s="1423" t="n">
        <v>112</v>
      </c>
      <c r="U64" s="1423" t="n">
        <v>30</v>
      </c>
      <c r="V64" s="1423" t="n">
        <v>15</v>
      </c>
      <c r="W64" s="1423" t="n">
        <v>32</v>
      </c>
      <c r="X64" s="1423" t="n">
        <v>36</v>
      </c>
      <c r="Y64" s="1423" t="n">
        <v>0</v>
      </c>
      <c r="Z64" s="1423" t="n">
        <v>7</v>
      </c>
      <c r="AA64" s="1423" t="n">
        <v>10</v>
      </c>
      <c r="AB64" s="1423" t="n">
        <f>IF(G64="انجام‌شده",1,IF(G64="نیمه‌انجام",0.5,0))</f>
        <v>0</v>
      </c>
      <c r="AC64" s="1423" t="str">
        <v>خیر</v>
      </c>
      <c r="AD64" s="1423" t="n">
        <v>2</v>
      </c>
      <c r="AE64" s="1423" t="n">
        <f>IF(OR(AG64&lt;&gt;240,AD64&gt;2,AND(AC64="بله",OR(L64&lt;&gt;150,M64&lt;&gt;90))),1,0)</f>
        <v>0</v>
      </c>
      <c r="AF64" s="1423" t="str">
        <f>IF(AE64=0,"معتبر","نیازمند بررسی")</f>
        <v>معتبر</v>
      </c>
      <c r="AG64" s="1423" t="n">
        <v>240</v>
      </c>
      <c r="AH64" s="1423" t="n">
        <v>68</v>
      </c>
      <c r="AI64" s="1423" t="n">
        <v>26</v>
      </c>
      <c r="AJ64" s="1423" t="n">
        <v>17</v>
      </c>
      <c r="AK64" s="1423" t="n">
        <v>150</v>
      </c>
      <c r="AL64" s="1423" t="n">
        <v>90</v>
      </c>
      <c r="AM64" s="1423" t="n">
        <v>15</v>
      </c>
    </row>
    <row r="65" ht="96" customHeight="1">
      <c r="A65" s="652" t="str">
        <v>۱۴۰۵/۰۷/۱۳</v>
      </c>
      <c r="B65" s="290" t="str">
        <v>دوشنبه</v>
      </c>
      <c r="C65" s="281" t="str">
        <v>[۱۵۰ دقیقه | نظریه‌های روان‌درمانی پروچاسکا] مطالعه فصل ۱۶: درمان‌های یکپارچه‌نگر، ص ۷۴۵ تا ۷۷۱ (U121)، ۸۷ دقیقه + بازیابیِ بسته‌کتاب همان‌جلسه، ۲۰ دقیقه + بازخورد و اصلاح، ۱۰ دقیقه + مرور D+1/D+7/D+14/D+28 برای U097، U110 و ۳ واحد دیگر، ۵ دقیقه + آزمونک ۷ سؤالی و تحلیل کامل، ۲۸ دقیقه</v>
      </c>
      <c r="D65" s="281" t="str">
        <v>[۹۰ دقیقه | روان‌شناسی رشد کرین] مطالعه فصل ۱۳: نظریه تفرد/جدایی ماهلر، ص ۵۰۰ تا ۵۰۲ (U171)؛ فصل ۱۴: مطالعه‌ای موردی در درمان روان‌تحلیلی: مطالعه بتلهایم درباره درخودماندگی (اوتیسم)، ص ۵۰۳ تا ۵۰۵ (U172)، ۲۵ دقیقه + بازیابیِ بسته‌کتاب همان‌جلسه، ۱۰ دقیقه + بازخورد و اصلاح، ۵ دقیقه + مرور D+1/D+7/D+14/D+28 برای U147، U148، U158، U165 و ۱ واحد دیگر، ۱۰ دقیقه + آزمونک ۱۰ سؤالی و تحلیل کامل، ۴۰ دقیقه</v>
      </c>
      <c r="E65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5" s="678" t="n">
        <v>17</v>
      </c>
      <c r="G65" s="290" t="str">
        <v>انجام‌نشده</v>
      </c>
      <c r="H65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65" s="1422" t="n">
        <v>46300</v>
      </c>
      <c r="J65" s="1423" t="n">
        <v>64</v>
      </c>
      <c r="K65" s="1423" t="n">
        <v>10</v>
      </c>
      <c r="L65" s="1423" t="n">
        <v>150</v>
      </c>
      <c r="M65" s="1423" t="n">
        <v>90</v>
      </c>
      <c r="N65" s="1423" t="str">
        <v>نظریه‌های روان‌درمانی پروچاسکا</v>
      </c>
      <c r="O65" s="1423" t="str">
        <v>روان‌شناسی رشد کرین</v>
      </c>
      <c r="P65" s="1423" t="str">
        <v>U121</v>
      </c>
      <c r="Q65" s="1423" t="str">
        <v>U171، U172</v>
      </c>
      <c r="R65" s="1423" t="n">
        <v>27</v>
      </c>
      <c r="S65" s="1423" t="n">
        <v>6</v>
      </c>
      <c r="T65" s="1423" t="n">
        <v>112</v>
      </c>
      <c r="U65" s="1423" t="n">
        <v>30</v>
      </c>
      <c r="V65" s="1423" t="n">
        <v>15</v>
      </c>
      <c r="W65" s="1423" t="n">
        <v>32</v>
      </c>
      <c r="X65" s="1423" t="n">
        <v>36</v>
      </c>
      <c r="Y65" s="1423" t="n">
        <v>0</v>
      </c>
      <c r="Z65" s="1423" t="n">
        <v>7</v>
      </c>
      <c r="AA65" s="1423" t="n">
        <v>10</v>
      </c>
      <c r="AB65" s="1423" t="n">
        <f>IF(G65="انجام‌شده",1,IF(G65="نیمه‌انجام",0.5,0))</f>
        <v>0</v>
      </c>
      <c r="AC65" s="1423" t="str">
        <v>خیر</v>
      </c>
      <c r="AD65" s="1423" t="n">
        <v>2</v>
      </c>
      <c r="AE65" s="1423" t="n">
        <f>IF(OR(AG65&lt;&gt;240,AD65&gt;2,AND(AC65="بله",OR(L65&lt;&gt;150,M65&lt;&gt;90))),1,0)</f>
        <v>0</v>
      </c>
      <c r="AF65" s="1423" t="str">
        <f>IF(AE65=0,"معتبر","نیازمند بررسی")</f>
        <v>معتبر</v>
      </c>
      <c r="AG65" s="1423" t="n">
        <v>240</v>
      </c>
      <c r="AH65" s="1423" t="n">
        <v>68</v>
      </c>
      <c r="AI65" s="1423" t="n">
        <v>33</v>
      </c>
      <c r="AJ65" s="1423" t="n">
        <v>17</v>
      </c>
      <c r="AK65" s="1423" t="n">
        <v>150</v>
      </c>
      <c r="AL65" s="1423" t="n">
        <v>90</v>
      </c>
      <c r="AM65" s="1423" t="n">
        <v>15</v>
      </c>
    </row>
    <row r="66" ht="96" customHeight="1">
      <c r="A66" s="648" t="str">
        <v>۱۴۰۵/۰۷/۱۴</v>
      </c>
      <c r="B66" s="378" t="str">
        <v>سه‌شنبه</v>
      </c>
      <c r="C66" s="367" t="str">
        <v>[۱۵۰ دقیقه | روان‌شناسی رشد کرین] مطالعه فصل ۱۴: مطالعه‌ای موردی در درمان روان‌تحلیلی: مطالعه بتلهایم درباره درخودماندگی (اوتیسم)، ص ۵۰۶ تا ۵۱۶ (U173)؛ فصل ۱۵: ساختار و تجربه‌های دوران کودکی، ص ۵۱۷ تا ۵۲۵ (U174)، ۸۷ دقیقه + بازیابیِ بسته‌کتاب همان‌جلسه، ۲۰ دقیقه + بازخورد و اصلاح، ۱۰ دقیقه + مرور D+1/D+3/D+7/D+14 برای U159، U160 و ۴ واحد دیگر، ۵ دقیقه + آزمونک ۷ سؤالی و تحلیل کامل، ۲۸ دقیقه</v>
      </c>
      <c r="D66" s="367" t="str">
        <v>[۹۰ دقیقه | آسیب‌شناسی روانی] مطالعه فصل ۱۸: اختلالات شخصیت، ص ۶۱۱ تا ۶۱۴ (U056)؛ فصل ۱۹: مهم‌ترین تغییرات رخ‌داده در DSM-5، ص ۶۱۵ تا ۶۱۶ (U057)، ۲۵ دقیقه + بازیابیِ بسته‌کتاب همان‌جلسه، ۱۰ دقیقه + بازخورد و اصلاح، ۵ دقیقه + مرور D+1/D+3/D+7/D+14/D+28 برای U030، U031، U032، U041 و ۶ واحد دیگر، ۱۰ دقیقه + آزمونک ۱۰ سؤالی و تحلیل کامل، ۴۰ دقیقه</v>
      </c>
      <c r="E66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6" s="678" t="n">
        <v>17</v>
      </c>
      <c r="G66" s="378" t="str">
        <v>انجام‌نشده</v>
      </c>
      <c r="H66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66" s="1422" t="n">
        <v>46301</v>
      </c>
      <c r="J66" s="1423" t="n">
        <v>65</v>
      </c>
      <c r="K66" s="1423" t="n">
        <v>10</v>
      </c>
      <c r="L66" s="1423" t="n">
        <v>150</v>
      </c>
      <c r="M66" s="1423" t="n">
        <v>90</v>
      </c>
      <c r="N66" s="1423" t="str">
        <v>روان‌شناسی رشد کرین</v>
      </c>
      <c r="O66" s="1423" t="str">
        <v>آسیب‌شناسی روانی</v>
      </c>
      <c r="P66" s="1423" t="str">
        <v>U173، U174</v>
      </c>
      <c r="Q66" s="1423" t="str">
        <v>U056، U057</v>
      </c>
      <c r="R66" s="1423" t="n">
        <v>20</v>
      </c>
      <c r="S66" s="1423" t="n">
        <v>6</v>
      </c>
      <c r="T66" s="1423" t="n">
        <v>112</v>
      </c>
      <c r="U66" s="1423" t="n">
        <v>30</v>
      </c>
      <c r="V66" s="1423" t="n">
        <v>15</v>
      </c>
      <c r="W66" s="1423" t="n">
        <v>32</v>
      </c>
      <c r="X66" s="1423" t="n">
        <v>36</v>
      </c>
      <c r="Y66" s="1423" t="n">
        <v>0</v>
      </c>
      <c r="Z66" s="1423" t="n">
        <v>7</v>
      </c>
      <c r="AA66" s="1423" t="n">
        <v>10</v>
      </c>
      <c r="AB66" s="1423" t="n">
        <f>IF(G66="انجام‌شده",1,IF(G66="نیمه‌انجام",0.5,0))</f>
        <v>0</v>
      </c>
      <c r="AC66" s="1423" t="str">
        <v>خیر</v>
      </c>
      <c r="AD66" s="1423" t="n">
        <v>2</v>
      </c>
      <c r="AE66" s="1423" t="n">
        <f>IF(OR(AG66&lt;&gt;240,AD66&gt;2,AND(AC66="بله",OR(L66&lt;&gt;150,M66&lt;&gt;90))),1,0)</f>
        <v>0</v>
      </c>
      <c r="AF66" s="1423" t="str">
        <f>IF(AE66=0,"معتبر","نیازمند بررسی")</f>
        <v>معتبر</v>
      </c>
      <c r="AG66" s="1423" t="n">
        <v>240</v>
      </c>
      <c r="AH66" s="1423" t="n">
        <v>68</v>
      </c>
      <c r="AI66" s="1423" t="n">
        <v>26</v>
      </c>
      <c r="AJ66" s="1423" t="n">
        <v>17</v>
      </c>
      <c r="AK66" s="1423" t="n">
        <v>150</v>
      </c>
      <c r="AL66" s="1423" t="n">
        <v>90</v>
      </c>
      <c r="AM66" s="1423" t="n">
        <v>15</v>
      </c>
    </row>
    <row r="67" ht="96" customHeight="1">
      <c r="A67" s="652" t="str">
        <v>۱۴۰۵/۰۷/۱۵</v>
      </c>
      <c r="B67" s="290" t="str">
        <v>چهارشنبه</v>
      </c>
      <c r="C67" s="281" t="str">
        <v>[۱۵۰ دقیقه | نظریه‌های روان‌درمانی پروچاسکا] مطالعه فصل ۱۶: درمان‌های یکپارچه‌نگر، ص ۷۷۲ تا ۷۸۸ (U122)؛ فصل ۱۷: نتیجه‌گیری‌های مقایسه‌ای: به‌سوی درمان بین‌نظری، ص ۷۸۹ تا ۷۹۸ (U123)، ۸۷ دقیقه + بازیابیِ بسته‌کتاب همان‌جلسه، ۲۰ دقیقه + بازخورد و اصلاح، ۱۰ دقیقه + مرور D+1/D+3/D+7/D+14/D+28 برای U098، U099 و ۱۳ واحد دیگر، ۵ دقیقه + آزمونک ۷ سؤالی و تحلیل کامل، ۲۸ دقیقه</v>
      </c>
      <c r="D67" s="281" t="str">
        <v>[۹۰ دقیقه | آسیب‌شناسی روانی] مطالعه فصل ۱۹: مهم‌ترین تغییرات رخ‌داده در DSM-5، ص ۶۱۷ تا ۶۲۲ (U058)، ۲۵ دقیقه + بازیابیِ بسته‌کتاب همان‌جلسه، ۱۰ دقیقه + بازخورد و اصلاح، ۵ دقیقه + مرور D+1/D+3/D+7/D+14 برای U043، U044، U051، U055 و ۲ واحد دیگر، ۱۰ دقیقه + آزمونک ۱۰ سؤالی و تحلیل کامل، ۴۰ دقیقه</v>
      </c>
      <c r="E67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7" s="678" t="n">
        <v>17</v>
      </c>
      <c r="G67" s="290" t="str">
        <v>انجام‌نشده</v>
      </c>
      <c r="H67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67" s="1422" t="n">
        <v>46302</v>
      </c>
      <c r="J67" s="1423" t="n">
        <v>66</v>
      </c>
      <c r="K67" s="1423" t="n">
        <v>10</v>
      </c>
      <c r="L67" s="1423" t="n">
        <v>150</v>
      </c>
      <c r="M67" s="1423" t="n">
        <v>90</v>
      </c>
      <c r="N67" s="1423" t="str">
        <v>نظریه‌های روان‌درمانی پروچاسکا</v>
      </c>
      <c r="O67" s="1423" t="str">
        <v>آسیب‌شناسی روانی</v>
      </c>
      <c r="P67" s="1423" t="str">
        <v>U122، U123</v>
      </c>
      <c r="Q67" s="1423" t="str">
        <v>U058</v>
      </c>
      <c r="R67" s="1423" t="n">
        <v>27</v>
      </c>
      <c r="S67" s="1423" t="n">
        <v>6</v>
      </c>
      <c r="T67" s="1423" t="n">
        <v>112</v>
      </c>
      <c r="U67" s="1423" t="n">
        <v>30</v>
      </c>
      <c r="V67" s="1423" t="n">
        <v>15</v>
      </c>
      <c r="W67" s="1423" t="n">
        <v>32</v>
      </c>
      <c r="X67" s="1423" t="n">
        <v>36</v>
      </c>
      <c r="Y67" s="1423" t="n">
        <v>0</v>
      </c>
      <c r="Z67" s="1423" t="n">
        <v>7</v>
      </c>
      <c r="AA67" s="1423" t="n">
        <v>10</v>
      </c>
      <c r="AB67" s="1423" t="n">
        <f>IF(G67="انجام‌شده",1,IF(G67="نیمه‌انجام",0.5,0))</f>
        <v>0</v>
      </c>
      <c r="AC67" s="1423" t="str">
        <v>خیر</v>
      </c>
      <c r="AD67" s="1423" t="n">
        <v>2</v>
      </c>
      <c r="AE67" s="1423" t="n">
        <f>IF(OR(AG67&lt;&gt;240,AD67&gt;2,AND(AC67="بله",OR(L67&lt;&gt;150,M67&lt;&gt;90))),1,0)</f>
        <v>0</v>
      </c>
      <c r="AF67" s="1423" t="str">
        <f>IF(AE67=0,"معتبر","نیازمند بررسی")</f>
        <v>معتبر</v>
      </c>
      <c r="AG67" s="1423" t="n">
        <v>240</v>
      </c>
      <c r="AH67" s="1423" t="n">
        <v>68</v>
      </c>
      <c r="AI67" s="1423" t="n">
        <v>33</v>
      </c>
      <c r="AJ67" s="1423" t="n">
        <v>17</v>
      </c>
      <c r="AK67" s="1423" t="n">
        <v>150</v>
      </c>
      <c r="AL67" s="1423" t="n">
        <v>90</v>
      </c>
      <c r="AM67" s="1423" t="n">
        <v>15</v>
      </c>
    </row>
    <row r="68" ht="96" customHeight="1">
      <c r="A68" s="648" t="str">
        <v>۱۴۰۵/۰۷/۱۶</v>
      </c>
      <c r="B68" s="378" t="str">
        <v>پنجشنبه</v>
      </c>
      <c r="C68" s="367" t="str">
        <v>[۱۵۰ دقیقه | روان‌شناسی رشد کرین] مطالعه فصل ۱۵: ساختار و تجربه‌های دوران کودکی، ص ۵۲۶ تا ۵۳۰ (U175)؛ فصل ۱۶: نظریه یونگ درباره دوران بزرگسالی، ص ۵۳۱ تا ۵۴۵ (U176)، ۸۷ دقیقه + بازیابیِ بسته‌کتاب همان‌جلسه، ۲۰ دقیقه + بازخورد و اصلاح، ۱۰ دقیقه + مرور D+1/D+3/D+7/D+14/D+28 برای U149، U161 و ۷ واحد دیگر، ۵ دقیقه + آزمونک ۷ سؤالی و تحلیل کامل، ۲۸ دقیقه</v>
      </c>
      <c r="D68" s="367" t="str">
        <v>[۹۰ دقیقه | آسیب‌شناسی روانی] مطالعه فصل ۱۹: مهم‌ترین تغییرات رخ‌داده در DSM-5، ص ۶۲۳ تا ۶۲۸ (U059)، ۲۵ دقیقه + بازیابیِ بسته‌کتاب همان‌جلسه، ۱۰ دقیقه + بازخورد و اصلاح، ۵ دقیقه + مرور D+1/D+7/D+14/D+28 برای U033، U045، U052، U058، ۱۰ دقیقه + آزمونک ۱۰ سؤالی و تحلیل کامل، ۴۰ دقیقه</v>
      </c>
      <c r="E68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8" s="678" t="n">
        <v>17</v>
      </c>
      <c r="G68" s="378" t="str">
        <v>انجام‌نشده</v>
      </c>
      <c r="H68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68" s="1422" t="n">
        <v>46303</v>
      </c>
      <c r="J68" s="1423" t="n">
        <v>67</v>
      </c>
      <c r="K68" s="1423" t="n">
        <v>10</v>
      </c>
      <c r="L68" s="1423" t="n">
        <v>150</v>
      </c>
      <c r="M68" s="1423" t="n">
        <v>90</v>
      </c>
      <c r="N68" s="1423" t="str">
        <v>روان‌شناسی رشد کرین</v>
      </c>
      <c r="O68" s="1423" t="str">
        <v>آسیب‌شناسی روانی</v>
      </c>
      <c r="P68" s="1423" t="str">
        <v>U175، U176</v>
      </c>
      <c r="Q68" s="1423" t="str">
        <v>U059</v>
      </c>
      <c r="R68" s="1423" t="n">
        <v>20</v>
      </c>
      <c r="S68" s="1423" t="n">
        <v>6</v>
      </c>
      <c r="T68" s="1423" t="n">
        <v>112</v>
      </c>
      <c r="U68" s="1423" t="n">
        <v>30</v>
      </c>
      <c r="V68" s="1423" t="n">
        <v>15</v>
      </c>
      <c r="W68" s="1423" t="n">
        <v>32</v>
      </c>
      <c r="X68" s="1423" t="n">
        <v>36</v>
      </c>
      <c r="Y68" s="1423" t="n">
        <v>0</v>
      </c>
      <c r="Z68" s="1423" t="n">
        <v>7</v>
      </c>
      <c r="AA68" s="1423" t="n">
        <v>10</v>
      </c>
      <c r="AB68" s="1423" t="n">
        <f>IF(G68="انجام‌شده",1,IF(G68="نیمه‌انجام",0.5,0))</f>
        <v>0</v>
      </c>
      <c r="AC68" s="1423" t="str">
        <v>خیر</v>
      </c>
      <c r="AD68" s="1423" t="n">
        <v>2</v>
      </c>
      <c r="AE68" s="1423" t="n">
        <f>IF(OR(AG68&lt;&gt;240,AD68&gt;2,AND(AC68="بله",OR(L68&lt;&gt;150,M68&lt;&gt;90))),1,0)</f>
        <v>0</v>
      </c>
      <c r="AF68" s="1423" t="str">
        <f>IF(AE68=0,"معتبر","نیازمند بررسی")</f>
        <v>معتبر</v>
      </c>
      <c r="AG68" s="1423" t="n">
        <v>240</v>
      </c>
      <c r="AH68" s="1423" t="n">
        <v>68</v>
      </c>
      <c r="AI68" s="1423" t="n">
        <v>26</v>
      </c>
      <c r="AJ68" s="1423" t="n">
        <v>17</v>
      </c>
      <c r="AK68" s="1423" t="n">
        <v>150</v>
      </c>
      <c r="AL68" s="1423" t="n">
        <v>90</v>
      </c>
      <c r="AM68" s="1423" t="n">
        <v>15</v>
      </c>
    </row>
    <row r="69" ht="96" customHeight="1">
      <c r="A69" s="652" t="str">
        <v>۱۴۰۵/۰۷/۱۷</v>
      </c>
      <c r="B69" s="290" t="str">
        <v>جمعه</v>
      </c>
      <c r="C69" s="281" t="str">
        <v>[۱۵۰ دقیقه | آسیب‌شناسی روانی] مطالعه فصل ۱۹: مهم‌ترین تغییرات رخ‌داده در DSM-5، ص ۶۲۹ تا ۶۴۲ (U060)؛ فصل پیوست: آزمون‌های کارشناسی ارشد و دکتری ۱۴۰۱ تا ۱۴۰۴، ص ۶۴۳ تا ۶۴۸ (U061)، ۸۷ دقیقه + بازیابیِ بسته‌کتاب همان‌جلسه، ۲۰ دقیقه + بازخورد و اصلاح، ۱۰ دقیقه + مرور D+1/D+3/D+7/D+14 برای U046، U053 و ۴ واحد دیگر، ۵ دقیقه + آزمونک ۷ سؤالی و تحلیل کامل، ۲۸ دقیقه</v>
      </c>
      <c r="D69" s="281" t="str">
        <v>ایستگاه جبرانی و تثبیت — [۹۰ دقیقه | آسیب‌شناسی روانی] اولویت: بالاترین تکلیف ناتمام هفته؛ جایگزین ازپیش‌تعریف‌شده: مرور D+1/D+3/D+7/D+14 برای U046، U053، U054، U056، U057، U059 و اصلاح دفتر خطا، ۵۰ دقیقه + آزمون هدفمند ۱۰ سؤالی و تحلیل کامل، ۴۰ دقیقه</v>
      </c>
      <c r="E69" s="380" t="str"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69" s="678" t="n">
        <v>17</v>
      </c>
      <c r="G69" s="290" t="str">
        <v>انجام‌نشده</v>
      </c>
      <c r="H69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69" s="1422" t="n">
        <v>46304</v>
      </c>
      <c r="J69" s="1423" t="n">
        <v>68</v>
      </c>
      <c r="K69" s="1423" t="n">
        <v>10</v>
      </c>
      <c r="L69" s="1423" t="n">
        <v>150</v>
      </c>
      <c r="M69" s="1423" t="n">
        <v>90</v>
      </c>
      <c r="N69" s="1423" t="str">
        <v>آسیب‌شناسی روانی</v>
      </c>
      <c r="O69" s="1423" t="str">
        <v>آسیب‌شناسی روانی</v>
      </c>
      <c r="P69" s="1423" t="str">
        <v>U060، U061</v>
      </c>
      <c r="Q69" s="1423" t="str">
        <v>ایستگاه جبرانی</v>
      </c>
      <c r="R69" s="1423" t="n">
        <v>20</v>
      </c>
      <c r="S69" s="1423" t="n">
        <v>0</v>
      </c>
      <c r="T69" s="1423" t="n">
        <v>87</v>
      </c>
      <c r="U69" s="1423" t="n">
        <v>20</v>
      </c>
      <c r="V69" s="1423" t="n">
        <v>55</v>
      </c>
      <c r="W69" s="1423" t="n">
        <v>32</v>
      </c>
      <c r="X69" s="1423" t="n">
        <v>36</v>
      </c>
      <c r="Y69" s="1423" t="n">
        <v>90</v>
      </c>
      <c r="Z69" s="1423" t="n">
        <v>7</v>
      </c>
      <c r="AA69" s="1423" t="n">
        <v>10</v>
      </c>
      <c r="AB69" s="1423" t="n">
        <f>IF(G69="انجام‌شده",1,IF(G69="نیمه‌انجام",0.5,0))</f>
        <v>0</v>
      </c>
      <c r="AC69" s="1423" t="str">
        <v>بله</v>
      </c>
      <c r="AD69" s="1423" t="n">
        <v>1</v>
      </c>
      <c r="AE69" s="1423" t="n">
        <f>IF(OR(AG69&lt;&gt;240,AD69&gt;2,AND(AC69="بله",OR(L69&lt;&gt;150,M69&lt;&gt;90))),1,0)</f>
        <v>0</v>
      </c>
      <c r="AF69" s="1423" t="str">
        <f>IF(AE69=0,"معتبر","نیازمند بررسی")</f>
        <v>معتبر</v>
      </c>
      <c r="AG69" s="1423" t="n">
        <v>240</v>
      </c>
      <c r="AH69" s="1423" t="n">
        <v>68</v>
      </c>
      <c r="AI69" s="1423" t="n">
        <v>20</v>
      </c>
      <c r="AJ69" s="1423" t="n">
        <v>17</v>
      </c>
      <c r="AK69" s="1423" t="n">
        <v>150</v>
      </c>
      <c r="AL69" s="1423" t="n">
        <v>90</v>
      </c>
      <c r="AM69" s="1423" t="n">
        <v>10</v>
      </c>
    </row>
    <row r="70" ht="96" customHeight="1">
      <c r="A70" s="648" t="str">
        <v>۱۴۰۵/۰۷/۱۸</v>
      </c>
      <c r="B70" s="378" t="str">
        <v>شنبه</v>
      </c>
      <c r="C70" s="367" t="str">
        <v>[۱۵۰ دقیقه | نظریه‌های روان‌درمانی پروچاسکا] مطالعه فصل ۱۷: نتیجه‌گیری‌های مقایسه‌ای: به‌سوی درمان بین‌نظری، ص ۷۹۹ تا ۸۲۵ (U124)، ۸۷ دقیقه + بازیابیِ بسته‌کتاب همان‌جلسه، ۲۰ دقیقه + بازخورد و اصلاح، ۱۰ دقیقه + مرور D+3/D+7/D+14/D+28 برای U102، U114 و ۵ واحد دیگر، ۵ دقیقه + آزمونک ۷ سؤالی و تحلیل کامل، ۲۸ دقیقه</v>
      </c>
      <c r="D70" s="367" t="str">
        <v>[۹۰ دقیقه | روان‌شناسی رشد کرین] مطالعه فصل ۱۶: نظریه یونگ درباره دوران بزرگسالی، ص ۵۴۶ تا ۵۵۰ (U177)، ۲۵ دقیقه + بازیابیِ بسته‌کتاب همان‌جلسه، ۱۰ دقیقه + بازخورد و اصلاح، ۵ دقیقه + مرور D+1/D+3/D+7/D+14/D+28 برای U150، U151، U162، U169 و ۴ واحد دیگر، ۱۰ دقیقه + آزمونک ۱۰ سؤالی و تحلیل کامل، ۴۰ دقیقه</v>
      </c>
      <c r="E70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0" s="678" t="n">
        <v>17</v>
      </c>
      <c r="G70" s="378" t="str">
        <v>انجام‌نشده</v>
      </c>
      <c r="H70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70" s="1422" t="n">
        <v>46305</v>
      </c>
      <c r="J70" s="1423" t="n">
        <v>69</v>
      </c>
      <c r="K70" s="1423" t="n">
        <v>11</v>
      </c>
      <c r="L70" s="1423" t="n">
        <v>150</v>
      </c>
      <c r="M70" s="1423" t="n">
        <v>90</v>
      </c>
      <c r="N70" s="1423" t="str">
        <v>نظریه‌های روان‌درمانی پروچاسکا</v>
      </c>
      <c r="O70" s="1423" t="str">
        <v>روان‌شناسی رشد کرین</v>
      </c>
      <c r="P70" s="1423" t="str">
        <v>U124</v>
      </c>
      <c r="Q70" s="1423" t="str">
        <v>U177</v>
      </c>
      <c r="R70" s="1423" t="n">
        <v>27</v>
      </c>
      <c r="S70" s="1423" t="n">
        <v>5</v>
      </c>
      <c r="T70" s="1423" t="n">
        <v>112</v>
      </c>
      <c r="U70" s="1423" t="n">
        <v>30</v>
      </c>
      <c r="V70" s="1423" t="n">
        <v>15</v>
      </c>
      <c r="W70" s="1423" t="n">
        <v>32</v>
      </c>
      <c r="X70" s="1423" t="n">
        <v>36</v>
      </c>
      <c r="Y70" s="1423" t="n">
        <v>0</v>
      </c>
      <c r="Z70" s="1423" t="n">
        <v>7</v>
      </c>
      <c r="AA70" s="1423" t="n">
        <v>10</v>
      </c>
      <c r="AB70" s="1423" t="n">
        <f>IF(G70="انجام‌شده",1,IF(G70="نیمه‌انجام",0.5,0))</f>
        <v>0</v>
      </c>
      <c r="AC70" s="1423" t="str">
        <v>خیر</v>
      </c>
      <c r="AD70" s="1423" t="n">
        <v>2</v>
      </c>
      <c r="AE70" s="1423" t="n">
        <f>IF(OR(AG70&lt;&gt;240,AD70&gt;2,AND(AC70="بله",OR(L70&lt;&gt;150,M70&lt;&gt;90))),1,0)</f>
        <v>0</v>
      </c>
      <c r="AF70" s="1423" t="str">
        <f>IF(AE70=0,"معتبر","نیازمند بررسی")</f>
        <v>معتبر</v>
      </c>
      <c r="AG70" s="1423" t="n">
        <v>240</v>
      </c>
      <c r="AH70" s="1423" t="n">
        <v>68</v>
      </c>
      <c r="AI70" s="1423" t="n">
        <v>32</v>
      </c>
      <c r="AJ70" s="1423" t="n">
        <v>17</v>
      </c>
      <c r="AK70" s="1423" t="n">
        <v>150</v>
      </c>
      <c r="AL70" s="1423" t="n">
        <v>90</v>
      </c>
      <c r="AM70" s="1423" t="n">
        <v>15</v>
      </c>
    </row>
    <row r="71" ht="96" customHeight="1">
      <c r="A71" s="652" t="str">
        <v>۱۴۰۵/۰۷/۱۹</v>
      </c>
      <c r="B71" s="290" t="str">
        <v>یکشنبه</v>
      </c>
      <c r="C71" s="281" t="str">
        <v>[۱۵۰ دقیقه | آسیب‌شناسی روانی] مطالعه فصل پیوست: آزمون‌های کارشناسی ارشد و دکتری ۱۴۰۱ تا ۱۴۰۴، ص ۶۴۹ تا ۶۶۸ (U062)، ۸۷ دقیقه + بازیابیِ بسته‌کتاب همان‌جلسه، ۲۰ دقیقه + بازخورد و اصلاح، ۱۰ دقیقه + مرور D+1/D+3/D+7/D+14/D+28 برای U034، U035 و ۸ واحد دیگر، ۵ دقیقه + آزمونک ۷ سؤالی و تحلیل کامل، ۲۸ دقیقه</v>
      </c>
      <c r="D71" s="281" t="str">
        <v>[۹۰ دقیقه | روان‌شناسی رشد کرین] مطالعه فصل ۱۷: نظریه رشد زبان چامسکی، ص ۵۵۱ تا ۵۵۵ (U178)، ۲۵ دقیقه + بازیابیِ بسته‌کتاب همان‌جلسه، ۱۰ دقیقه + بازخورد و اصلاح، ۵ دقیقه + مرور D+1/D+3/D+7/D+14 برای U163، U164، U170، U175 و ۲ واحد دیگر، ۱۰ دقیقه + آزمونک ۱۰ سؤالی و تحلیل کامل، ۴۰ دقیقه</v>
      </c>
      <c r="E71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1" s="678" t="n">
        <v>17</v>
      </c>
      <c r="G71" s="290" t="str">
        <v>انجام‌نشده</v>
      </c>
      <c r="H71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71" s="1422" t="n">
        <v>46306</v>
      </c>
      <c r="J71" s="1423" t="n">
        <v>70</v>
      </c>
      <c r="K71" s="1423" t="n">
        <v>11</v>
      </c>
      <c r="L71" s="1423" t="n">
        <v>150</v>
      </c>
      <c r="M71" s="1423" t="n">
        <v>90</v>
      </c>
      <c r="N71" s="1423" t="str">
        <v>آسیب‌شناسی روانی</v>
      </c>
      <c r="O71" s="1423" t="str">
        <v>روان‌شناسی رشد کرین</v>
      </c>
      <c r="P71" s="1423" t="str">
        <v>U062</v>
      </c>
      <c r="Q71" s="1423" t="str">
        <v>U178</v>
      </c>
      <c r="R71" s="1423" t="n">
        <v>20</v>
      </c>
      <c r="S71" s="1423" t="n">
        <v>5</v>
      </c>
      <c r="T71" s="1423" t="n">
        <v>112</v>
      </c>
      <c r="U71" s="1423" t="n">
        <v>30</v>
      </c>
      <c r="V71" s="1423" t="n">
        <v>15</v>
      </c>
      <c r="W71" s="1423" t="n">
        <v>32</v>
      </c>
      <c r="X71" s="1423" t="n">
        <v>36</v>
      </c>
      <c r="Y71" s="1423" t="n">
        <v>0</v>
      </c>
      <c r="Z71" s="1423" t="n">
        <v>7</v>
      </c>
      <c r="AA71" s="1423" t="n">
        <v>10</v>
      </c>
      <c r="AB71" s="1423" t="n">
        <f>IF(G71="انجام‌شده",1,IF(G71="نیمه‌انجام",0.5,0))</f>
        <v>0</v>
      </c>
      <c r="AC71" s="1423" t="str">
        <v>خیر</v>
      </c>
      <c r="AD71" s="1423" t="n">
        <v>2</v>
      </c>
      <c r="AE71" s="1423" t="n">
        <f>IF(OR(AG71&lt;&gt;240,AD71&gt;2,AND(AC71="بله",OR(L71&lt;&gt;150,M71&lt;&gt;90))),1,0)</f>
        <v>0</v>
      </c>
      <c r="AF71" s="1423" t="str">
        <f>IF(AE71=0,"معتبر","نیازمند بررسی")</f>
        <v>معتبر</v>
      </c>
      <c r="AG71" s="1423" t="n">
        <v>240</v>
      </c>
      <c r="AH71" s="1423" t="n">
        <v>68</v>
      </c>
      <c r="AI71" s="1423" t="n">
        <v>25</v>
      </c>
      <c r="AJ71" s="1423" t="n">
        <v>17</v>
      </c>
      <c r="AK71" s="1423" t="n">
        <v>150</v>
      </c>
      <c r="AL71" s="1423" t="n">
        <v>90</v>
      </c>
      <c r="AM71" s="1423" t="n">
        <v>15</v>
      </c>
    </row>
    <row r="72" ht="96" customHeight="1">
      <c r="A72" s="648" t="str">
        <v>۱۴۰۵/۰۷/۲۰</v>
      </c>
      <c r="B72" s="378" t="str">
        <v>دوشنبه</v>
      </c>
      <c r="C72" s="367" t="str">
        <v>[۱۵۰ دقیقه | نظریه‌های روان‌درمانی پروچاسکا] مطالعه فصل ۱۷: نتیجه‌گیری‌های مقایسه‌ای: به‌سوی درمان بین‌نظری، ص ۸۲۶ تا ۸۳۴ (U125)؛ فصل ۱۸: آینده روان‌درمانی، ص ۸۳۵ تا ۸۵۲ (U126)، ۸۷ دقیقه + بازیابیِ بسته‌کتاب همان‌جلسه، ۲۰ دقیقه + بازخورد و اصلاح، ۱۰ دقیقه + مرور D+1/D+7/D+14/D+28 برای U103، U104 و ۳ واحد دیگر، ۵ دقیقه + آزمونک ۷ سؤالی و تحلیل کامل، ۲۸ دقیقه</v>
      </c>
      <c r="D72" s="367" t="str">
        <v>[۹۰ دقیقه | روان‌شناسی رشد کرین] مطالعه فصل ۱۷: نظریه رشد زبان چامسکی، ص ۵۵۶ تا ۵۶۰ (U179)، ۲۵ دقیقه + بازیابیِ بسته‌کتاب همان‌جلسه، ۱۰ دقیقه + بازخورد و اصلاح، ۵ دقیقه + مرور D+1/D+7/D+14/D+28 برای U152، U165، U171، U172 و ۱ واحد دیگر، ۱۰ دقیقه + آزمونک ۱۰ سؤالی و تحلیل کامل، ۴۰ دقیقه</v>
      </c>
      <c r="E72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2" s="678" t="n">
        <v>17</v>
      </c>
      <c r="G72" s="378" t="str">
        <v>انجام‌نشده</v>
      </c>
      <c r="H72" s="390" t="str">
        <v>روش محوری: مرور بازیابی‌محور تطبیقی. منبع تست پارت ۱: فاقد بانک تست مشخص؛ آزمونک بازیابی خودساخته | منبع تست پارت ۲: بانک تست موجود کاربر</v>
      </c>
      <c r="I72" s="1422" t="n">
        <v>46307</v>
      </c>
      <c r="J72" s="1423" t="n">
        <v>71</v>
      </c>
      <c r="K72" s="1423" t="n">
        <v>11</v>
      </c>
      <c r="L72" s="1423" t="n">
        <v>150</v>
      </c>
      <c r="M72" s="1423" t="n">
        <v>90</v>
      </c>
      <c r="N72" s="1423" t="str">
        <v>نظریه‌های روان‌درمانی پروچاسکا</v>
      </c>
      <c r="O72" s="1423" t="str">
        <v>روان‌شناسی رشد کرین</v>
      </c>
      <c r="P72" s="1423" t="str">
        <v>U125، U126</v>
      </c>
      <c r="Q72" s="1423" t="str">
        <v>U179</v>
      </c>
      <c r="R72" s="1423" t="n">
        <v>27</v>
      </c>
      <c r="S72" s="1423" t="n">
        <v>5</v>
      </c>
      <c r="T72" s="1423" t="n">
        <v>112</v>
      </c>
      <c r="U72" s="1423" t="n">
        <v>30</v>
      </c>
      <c r="V72" s="1423" t="n">
        <v>15</v>
      </c>
      <c r="W72" s="1423" t="n">
        <v>32</v>
      </c>
      <c r="X72" s="1423" t="n">
        <v>36</v>
      </c>
      <c r="Y72" s="1423" t="n">
        <v>0</v>
      </c>
      <c r="Z72" s="1423" t="n">
        <v>7</v>
      </c>
      <c r="AA72" s="1423" t="n">
        <v>10</v>
      </c>
      <c r="AB72" s="1423" t="n">
        <f>IF(G72="انجام‌شده",1,IF(G72="نیمه‌انجام",0.5,0))</f>
        <v>0</v>
      </c>
      <c r="AC72" s="1423" t="str">
        <v>خیر</v>
      </c>
      <c r="AD72" s="1423" t="n">
        <v>2</v>
      </c>
      <c r="AE72" s="1423" t="n">
        <f>IF(OR(AG72&lt;&gt;240,AD72&gt;2,AND(AC72="بله",OR(L72&lt;&gt;150,M72&lt;&gt;90))),1,0)</f>
        <v>0</v>
      </c>
      <c r="AF72" s="1423" t="str">
        <f>IF(AE72=0,"معتبر","نیازمند بررسی")</f>
        <v>معتبر</v>
      </c>
      <c r="AG72" s="1423" t="n">
        <v>240</v>
      </c>
      <c r="AH72" s="1423" t="n">
        <v>68</v>
      </c>
      <c r="AI72" s="1423" t="n">
        <v>32</v>
      </c>
      <c r="AJ72" s="1423" t="n">
        <v>17</v>
      </c>
      <c r="AK72" s="1423" t="n">
        <v>150</v>
      </c>
      <c r="AL72" s="1423" t="n">
        <v>90</v>
      </c>
      <c r="AM72" s="1423" t="n">
        <v>15</v>
      </c>
    </row>
    <row r="73" ht="96" customHeight="1">
      <c r="A73" s="652" t="str">
        <v>۱۴۰۵/۰۷/۲۱</v>
      </c>
      <c r="B73" s="290" t="str">
        <v>سه‌شنبه</v>
      </c>
      <c r="C73" s="281" t="str">
        <v>[۱۵۰ دقیقه | روان‌شناسی رشد کرین] مطالعه فصل ۱۷: نظریه رشد زبان چامسکی، ص ۵۶۱ تا ۵۸۰ (U180)، ۸۷ دقیقه + بازیابیِ بسته‌کتاب همان‌جلسه، ۲۰ دقیقه + بازخورد و اصلاح، ۱۰ دقیقه + مرور D+1/D+3/D+7/D+14/D+28 برای U153، U154 و ۷ واحد دیگر، ۵ دقیقه + آزمونک ۷ سؤالی و تحلیل کامل، ۲۸ دقیقه</v>
      </c>
      <c r="D73" s="281" t="str">
        <v>[۹۰ دقیقه | آسیب‌شناسی روانی] مطالعه فصل پیوست: آزمون‌های کارشناسی ارشد و دکتری ۱۴۰۱ تا ۱۴۰۴، ص ۶۶۹ تا ۶۷۴ (U063)، ۲۵ دقیقه + بازیابیِ بسته‌کتاب همان‌جلسه، ۱۰ دقیقه + بازخورد و اصلاح، ۵ دقیقه + مرور D+1/D+3/D+7/D+14/D+28 برای U037، U038، U049، U050 و ۵ واحد دیگر، ۱۰ دقیقه + آزمونک ۱۰ سؤالی و تحلیل کامل، ۴۰ دقیقه</v>
      </c>
      <c r="E73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3" s="678" t="n">
        <v>17</v>
      </c>
      <c r="G73" s="290" t="str">
        <v>انجام‌نشده</v>
      </c>
      <c r="H73" s="390" t="str">
        <v>روش محوری: مرور بازیابی‌محور تطبیقی. منبع تست پارت ۱: بانک تست موجود کاربر | منبع تست پارت ۲: تست‌های پایان فصل کتاب + کتاب تست تکمیلی؛ در صورت کمبود، آزمونک بازیابی خودساخته</v>
      </c>
      <c r="I73" s="1422" t="n">
        <v>46308</v>
      </c>
      <c r="J73" s="1423" t="n">
        <v>72</v>
      </c>
      <c r="K73" s="1423" t="n">
        <v>11</v>
      </c>
      <c r="L73" s="1423" t="n">
        <v>150</v>
      </c>
      <c r="M73" s="1423" t="n">
        <v>90</v>
      </c>
      <c r="N73" s="1423" t="str">
        <v>روان‌شناسی رشد کرین</v>
      </c>
      <c r="O73" s="1423" t="str">
        <v>آسیب‌شناسی روانی</v>
      </c>
      <c r="P73" s="1423" t="str">
        <v>U180</v>
      </c>
      <c r="Q73" s="1423" t="str">
        <v>U063</v>
      </c>
      <c r="R73" s="1423" t="n">
        <v>20</v>
      </c>
      <c r="S73" s="1423" t="n">
        <v>6</v>
      </c>
      <c r="T73" s="1423" t="n">
        <v>112</v>
      </c>
      <c r="U73" s="1423" t="n">
        <v>30</v>
      </c>
      <c r="V73" s="1423" t="n">
        <v>15</v>
      </c>
      <c r="W73" s="1423" t="n">
        <v>32</v>
      </c>
      <c r="X73" s="1423" t="n">
        <v>36</v>
      </c>
      <c r="Y73" s="1423" t="n">
        <v>0</v>
      </c>
      <c r="Z73" s="1423" t="n">
        <v>7</v>
      </c>
      <c r="AA73" s="1423" t="n">
        <v>10</v>
      </c>
      <c r="AB73" s="1423" t="n">
        <f>IF(G73="انجام‌شده",1,IF(G73="نیمه‌انجام",0.5,0))</f>
        <v>0</v>
      </c>
      <c r="AC73" s="1423" t="str">
        <v>خیر</v>
      </c>
      <c r="AD73" s="1423" t="n">
        <v>2</v>
      </c>
      <c r="AE73" s="1423" t="n">
        <f>IF(OR(AG73&lt;&gt;240,AD73&gt;2,AND(AC73="بله",OR(L73&lt;&gt;150,M73&lt;&gt;90))),1,0)</f>
        <v>0</v>
      </c>
      <c r="AF73" s="1423" t="str">
        <f>IF(AE73=0,"معتبر","نیازمند بررسی")</f>
        <v>معتبر</v>
      </c>
      <c r="AG73" s="1423" t="n">
        <v>240</v>
      </c>
      <c r="AH73" s="1423" t="n">
        <v>68</v>
      </c>
      <c r="AI73" s="1423" t="n">
        <v>26</v>
      </c>
      <c r="AJ73" s="1423" t="n">
        <v>17</v>
      </c>
      <c r="AK73" s="1423" t="n">
        <v>150</v>
      </c>
      <c r="AL73" s="1423" t="n">
        <v>90</v>
      </c>
      <c r="AM73" s="1423" t="n">
        <v>15</v>
      </c>
    </row>
    <row r="74" ht="96" customHeight="1">
      <c r="A74" s="648" t="str">
        <v>۱۴۰۵/۰۷/۲۲</v>
      </c>
      <c r="B74" s="378" t="str">
        <v>چهارشنبه</v>
      </c>
      <c r="C74" s="367" t="str">
        <v>[۱۵۰ دقیقه | آسیب‌شناسی روانی] مطالعه فصل پیوست: آزمون‌های کارشناسی ارشد و دکتری ۱۴۰۱ تا ۱۴۰۴، ص ۶۷۵ تا ۶۹۴ (U064)، ۸۷ دقیقه + بازیابیِ بسته‌کتاب همان‌جلسه، ۲۰ دقیقه + بازخورد و اصلاح، ۱۰ دقیقه + مرور D+1/D+3/D+7/D+14/D+28 برای U039، U051 و ۳ واحد دیگر، ۵ دقیقه + آزمونک ۷ سؤالی و تحلیل کامل، ۲۸ دقیقه</v>
      </c>
      <c r="D74" s="367" t="str">
        <v>[۹۰ دقیقه | نظریه‌های روان‌درمانی پروچاسکا] مطالعه فصل ۱۸: آینده روان‌درمانی، ص ۸۵۳ تا ۸۶۰ (U127)، ۲۵ دقیقه + بازیابیِ بسته‌کتاب همان‌جلسه، ۱۰ دقیقه + بازخورد و اصلاح، ۵ دقیقه + مرور D+1/D+3/D+7/D+14/D+28 برای U105، U106، U117، U118 و ۵ واحد دیگر، ۱۰ دقیقه + آزمونک ۱۰ سؤالی و تحلیل کامل، ۴۰ دقیقه</v>
      </c>
      <c r="E74" s="380" t="str"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4" s="678" t="n">
        <v>17</v>
      </c>
      <c r="G74" s="378" t="str">
        <v>انجام‌نشده</v>
      </c>
      <c r="H74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فاقد بانک تست مشخص؛ آزمونک بازیابی خودساخته</v>
      </c>
      <c r="I74" s="1422" t="n">
        <v>46309</v>
      </c>
      <c r="J74" s="1423" t="n">
        <v>73</v>
      </c>
      <c r="K74" s="1423" t="n">
        <v>11</v>
      </c>
      <c r="L74" s="1423" t="n">
        <v>150</v>
      </c>
      <c r="M74" s="1423" t="n">
        <v>90</v>
      </c>
      <c r="N74" s="1423" t="str">
        <v>آسیب‌شناسی روانی</v>
      </c>
      <c r="O74" s="1423" t="str">
        <v>نظریه‌های روان‌درمانی پروچاسکا</v>
      </c>
      <c r="P74" s="1423" t="str">
        <v>U064</v>
      </c>
      <c r="Q74" s="1423" t="str">
        <v>U127</v>
      </c>
      <c r="R74" s="1423" t="n">
        <v>20</v>
      </c>
      <c r="S74" s="1423" t="n">
        <v>8</v>
      </c>
      <c r="T74" s="1423" t="n">
        <v>112</v>
      </c>
      <c r="U74" s="1423" t="n">
        <v>30</v>
      </c>
      <c r="V74" s="1423" t="n">
        <v>15</v>
      </c>
      <c r="W74" s="1423" t="n">
        <v>32</v>
      </c>
      <c r="X74" s="1423" t="n">
        <v>36</v>
      </c>
      <c r="Y74" s="1423" t="n">
        <v>0</v>
      </c>
      <c r="Z74" s="1423" t="n">
        <v>7</v>
      </c>
      <c r="AA74" s="1423" t="n">
        <v>10</v>
      </c>
      <c r="AB74" s="1423" t="n">
        <f>IF(G74="انجام‌شده",1,IF(G74="نیمه‌انجام",0.5,0))</f>
        <v>0</v>
      </c>
      <c r="AC74" s="1423" t="str">
        <v>خیر</v>
      </c>
      <c r="AD74" s="1423" t="n">
        <v>2</v>
      </c>
      <c r="AE74" s="1423" t="n">
        <f>IF(OR(AG74&lt;&gt;240,AD74&gt;2,AND(AC74="بله",OR(L74&lt;&gt;150,M74&lt;&gt;90))),1,0)</f>
        <v>0</v>
      </c>
      <c r="AF74" s="1423" t="str">
        <f>IF(AE74=0,"معتبر","نیازمند بررسی")</f>
        <v>معتبر</v>
      </c>
      <c r="AG74" s="1423" t="n">
        <v>240</v>
      </c>
      <c r="AH74" s="1423" t="n">
        <v>68</v>
      </c>
      <c r="AI74" s="1423" t="n">
        <v>28</v>
      </c>
      <c r="AJ74" s="1423" t="n">
        <v>17</v>
      </c>
      <c r="AK74" s="1423" t="n">
        <v>150</v>
      </c>
      <c r="AL74" s="1423" t="n">
        <v>90</v>
      </c>
      <c r="AM74" s="1423" t="n">
        <v>15</v>
      </c>
    </row>
    <row r="75" ht="96" customHeight="1">
      <c r="A75" s="652" t="str">
        <v>۱۴۰۵/۰۷/۲۳</v>
      </c>
      <c r="B75" s="290" t="str">
        <v>پنجشنبه</v>
      </c>
      <c r="C75" s="281" t="str">
        <v>[۱۵۰ دقیقه | نظریه‌های روان‌درمانی پروچاسکا]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75" s="281" t="str">
        <v>[۹۰ دقیقه | نظریه‌های روان‌درمانی پروچاسکا] بازیابی تجمعی و مرور بین‌فصلی، ۵۵ دقیقه + آزمون تجمعی ۹ سؤالی و تحلیل کامل، ۳۵ دقیقه</v>
      </c>
      <c r="E75" s="380" t="str">
        <v>پارت ۱: بازیابی تجمعی + بازآموزی + مرور دفتر خطا + تست و تحلیل | پارت ۲: بازیابی تجمعی + بازآموزی + تست و تحلیل</v>
      </c>
      <c r="F75" s="678" t="n">
        <v>17</v>
      </c>
      <c r="G75" s="290" t="str">
        <v>انجام‌نشده</v>
      </c>
      <c r="H75" s="390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75" s="1422" t="n">
        <v>46310</v>
      </c>
      <c r="J75" s="1423" t="n">
        <v>74</v>
      </c>
      <c r="K75" s="1423" t="n">
        <v>11</v>
      </c>
      <c r="L75" s="1423" t="n">
        <v>150</v>
      </c>
      <c r="M75" s="1423" t="n">
        <v>90</v>
      </c>
      <c r="N75" s="1423" t="str">
        <v>نظریه‌های روان‌درمانی پروچاسکا</v>
      </c>
      <c r="O75" s="1423" t="str">
        <v>نظریه‌های روان‌درمانی پروچاسکا</v>
      </c>
      <c r="P75" s="1423" t="str">
        <v>تثبیت نهایی</v>
      </c>
      <c r="Q75" s="1423" t="str">
        <v>تثبیت نهایی</v>
      </c>
      <c r="R75" s="1423" t="n">
        <v>0</v>
      </c>
      <c r="S75" s="1423" t="n">
        <v>0</v>
      </c>
      <c r="T75" s="1423" t="n">
        <v>0</v>
      </c>
      <c r="U75" s="1423" t="n">
        <v>0</v>
      </c>
      <c r="V75" s="1423" t="n">
        <v>170</v>
      </c>
      <c r="W75" s="1423" t="n">
        <v>33</v>
      </c>
      <c r="X75" s="1423" t="n">
        <v>37</v>
      </c>
      <c r="Y75" s="1423" t="n">
        <v>0</v>
      </c>
      <c r="Z75" s="1423" t="n">
        <v>8</v>
      </c>
      <c r="AA75" s="1423" t="n">
        <v>9</v>
      </c>
      <c r="AB75" s="1423" t="n">
        <f>IF(G75="انجام‌شده",1,IF(G75="نیمه‌انجام",0.5,0))</f>
        <v>0</v>
      </c>
      <c r="AC75" s="1423" t="str">
        <v>خیر</v>
      </c>
      <c r="AD75" s="1423" t="n">
        <v>1</v>
      </c>
      <c r="AE75" s="1423" t="n">
        <f>IF(OR(AG75&lt;&gt;240,AD75&gt;2,AND(AC75="بله",OR(L75&lt;&gt;150,M75&lt;&gt;90))),1,0)</f>
        <v>0</v>
      </c>
      <c r="AF75" s="1423" t="str">
        <f>IF(AE75=0,"معتبر","نیازمند بررسی")</f>
        <v>معتبر</v>
      </c>
      <c r="AG75" s="1423" t="n">
        <v>240</v>
      </c>
      <c r="AH75" s="1423" t="n">
        <v>70</v>
      </c>
      <c r="AI75" s="1423" t="n">
        <v>0</v>
      </c>
      <c r="AJ75" s="1423" t="n">
        <v>17</v>
      </c>
      <c r="AK75" s="1423" t="n">
        <v>150</v>
      </c>
      <c r="AL75" s="1423" t="n">
        <v>90</v>
      </c>
      <c r="AM75" s="1423" t="n">
        <v>0</v>
      </c>
    </row>
    <row r="76" ht="96" customHeight="1">
      <c r="A76" s="648" t="str">
        <v>۱۴۰۵/۰۷/۲۴</v>
      </c>
      <c r="B76" s="378" t="str">
        <v>جمعه</v>
      </c>
      <c r="C76" s="367" t="str">
        <v>[۱۵۰ دقیقه | آسیب‌شناسی روانی]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76" s="367" t="str">
        <v>ایستگاه جبرانی و تثبیت — [۹۰ دقیقه | آسیب‌شناسی روانی] اولویت: ضعیف‌ترین موضوع و خطاهای پرتکرار؛ جایگزین ازپیش‌تعریف‌شده: تثبیت نهایی و بازیابی تجمعی، ۵۵ دقیقه + آزمون هدفمند ۹ سؤالی و تحلیل کامل، ۳۵ دقیقه</v>
      </c>
      <c r="E76" s="380" t="str">
        <v>پارت ۱: بازیابی تجمعی + بازآموزی + مرور دفتر خطا + تست و تحلیل | پارت ۲: ایستگاه جبرانی و تثبیت + مرور تجمعی + آزمون هدفمند + تحلیل</v>
      </c>
      <c r="F76" s="678" t="n">
        <v>17</v>
      </c>
      <c r="G76" s="378" t="str">
        <v>انجام‌نشده</v>
      </c>
      <c r="H76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تست‌های پایان فصل کتاب + کتاب تست تکمیلی؛ در صورت کمبود، آزمونک بازیابی خودساخته</v>
      </c>
      <c r="I76" s="1422" t="n">
        <v>46311</v>
      </c>
      <c r="J76" s="1423" t="n">
        <v>75</v>
      </c>
      <c r="K76" s="1423" t="n">
        <v>11</v>
      </c>
      <c r="L76" s="1423" t="n">
        <v>150</v>
      </c>
      <c r="M76" s="1423" t="n">
        <v>90</v>
      </c>
      <c r="N76" s="1423" t="str">
        <v>آسیب‌شناسی روانی</v>
      </c>
      <c r="O76" s="1423" t="str">
        <v>آسیب‌شناسی روانی</v>
      </c>
      <c r="P76" s="1423" t="str">
        <v>تثبیت نهایی</v>
      </c>
      <c r="Q76" s="1423" t="str">
        <v>ایستگاه جبرانی</v>
      </c>
      <c r="R76" s="1423" t="n">
        <v>0</v>
      </c>
      <c r="S76" s="1423" t="n">
        <v>0</v>
      </c>
      <c r="T76" s="1423" t="n">
        <v>0</v>
      </c>
      <c r="U76" s="1423" t="n">
        <v>0</v>
      </c>
      <c r="V76" s="1423" t="n">
        <v>170</v>
      </c>
      <c r="W76" s="1423" t="n">
        <v>33</v>
      </c>
      <c r="X76" s="1423" t="n">
        <v>37</v>
      </c>
      <c r="Y76" s="1423" t="n">
        <v>90</v>
      </c>
      <c r="Z76" s="1423" t="n">
        <v>8</v>
      </c>
      <c r="AA76" s="1423" t="n">
        <v>9</v>
      </c>
      <c r="AB76" s="1423" t="n">
        <f>IF(G76="انجام‌شده",1,IF(G76="نیمه‌انجام",0.5,0))</f>
        <v>0</v>
      </c>
      <c r="AC76" s="1423" t="str">
        <v>بله</v>
      </c>
      <c r="AD76" s="1423" t="n">
        <v>1</v>
      </c>
      <c r="AE76" s="1423" t="n">
        <f>IF(OR(AG76&lt;&gt;240,AD76&gt;2,AND(AC76="بله",OR(L76&lt;&gt;150,M76&lt;&gt;90))),1,0)</f>
        <v>0</v>
      </c>
      <c r="AF76" s="1423" t="str">
        <f>IF(AE76=0,"معتبر","نیازمند بررسی")</f>
        <v>معتبر</v>
      </c>
      <c r="AG76" s="1423" t="n">
        <v>240</v>
      </c>
      <c r="AH76" s="1423" t="n">
        <v>70</v>
      </c>
      <c r="AI76" s="1423" t="n">
        <v>0</v>
      </c>
      <c r="AJ76" s="1423" t="n">
        <v>17</v>
      </c>
      <c r="AK76" s="1423" t="n">
        <v>150</v>
      </c>
      <c r="AL76" s="1423" t="n">
        <v>90</v>
      </c>
      <c r="AM76" s="1423" t="n">
        <v>0</v>
      </c>
    </row>
    <row r="77" ht="96" customHeight="1">
      <c r="A77" s="652" t="str">
        <v>۱۴۰۵/۰۷/۲۵</v>
      </c>
      <c r="B77" s="290" t="str">
        <v>شنبه</v>
      </c>
      <c r="C77" s="281" t="str">
        <v>[۱۵۰ دقیقه | روان‌شناسی رشد کرین]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77" s="281" t="str">
        <v>[۹۰ دقیقه | نظریه‌های روان‌درمانی پروچاسکا] بازیابی تجمعی و مرور بین‌فصلی، ۵۵ دقیقه + آزمون تجمعی ۹ سؤالی و تحلیل کامل، ۳۵ دقیقه</v>
      </c>
      <c r="E77" s="380" t="str">
        <v>پارت ۱: بازیابی تجمعی + بازآموزی + مرور دفتر خطا + تست و تحلیل | پارت ۲: بازیابی تجمعی + بازآموزی + تست و تحلیل</v>
      </c>
      <c r="F77" s="678" t="n">
        <v>17</v>
      </c>
      <c r="G77" s="290" t="str">
        <v>انجام‌نشده</v>
      </c>
      <c r="H77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77" s="1422" t="n">
        <v>46312</v>
      </c>
      <c r="J77" s="1423" t="n">
        <v>76</v>
      </c>
      <c r="K77" s="1423" t="n">
        <v>12</v>
      </c>
      <c r="L77" s="1423" t="n">
        <v>150</v>
      </c>
      <c r="M77" s="1423" t="n">
        <v>90</v>
      </c>
      <c r="N77" s="1423" t="str">
        <v>روان‌شناسی رشد کرین</v>
      </c>
      <c r="O77" s="1423" t="str">
        <v>نظریه‌های روان‌درمانی پروچاسکا</v>
      </c>
      <c r="P77" s="1423" t="str">
        <v>تثبیت نهایی</v>
      </c>
      <c r="Q77" s="1423" t="str">
        <v>تثبیت نهایی</v>
      </c>
      <c r="R77" s="1423" t="n">
        <v>0</v>
      </c>
      <c r="S77" s="1423" t="n">
        <v>0</v>
      </c>
      <c r="T77" s="1423" t="n">
        <v>0</v>
      </c>
      <c r="U77" s="1423" t="n">
        <v>0</v>
      </c>
      <c r="V77" s="1423" t="n">
        <v>170</v>
      </c>
      <c r="W77" s="1423" t="n">
        <v>33</v>
      </c>
      <c r="X77" s="1423" t="n">
        <v>37</v>
      </c>
      <c r="Y77" s="1423" t="n">
        <v>0</v>
      </c>
      <c r="Z77" s="1423" t="n">
        <v>8</v>
      </c>
      <c r="AA77" s="1423" t="n">
        <v>9</v>
      </c>
      <c r="AB77" s="1423" t="n">
        <f>IF(G77="انجام‌شده",1,IF(G77="نیمه‌انجام",0.5,0))</f>
        <v>0</v>
      </c>
      <c r="AC77" s="1423" t="str">
        <v>خیر</v>
      </c>
      <c r="AD77" s="1423" t="n">
        <v>2</v>
      </c>
      <c r="AE77" s="1423" t="n">
        <f>IF(OR(AG77&lt;&gt;240,AD77&gt;2,AND(AC77="بله",OR(L77&lt;&gt;150,M77&lt;&gt;90))),1,0)</f>
        <v>0</v>
      </c>
      <c r="AF77" s="1423" t="str">
        <f>IF(AE77=0,"معتبر","نیازمند بررسی")</f>
        <v>معتبر</v>
      </c>
      <c r="AG77" s="1423" t="n">
        <v>240</v>
      </c>
      <c r="AH77" s="1423" t="n">
        <v>70</v>
      </c>
      <c r="AI77" s="1423" t="n">
        <v>0</v>
      </c>
      <c r="AJ77" s="1423" t="n">
        <v>17</v>
      </c>
      <c r="AK77" s="1423" t="n">
        <v>150</v>
      </c>
      <c r="AL77" s="1423" t="n">
        <v>90</v>
      </c>
      <c r="AM77" s="1423" t="n">
        <v>0</v>
      </c>
    </row>
    <row r="78" ht="96" customHeight="1">
      <c r="A78" s="648" t="str">
        <v>۱۴۰۵/۰۷/۲۶</v>
      </c>
      <c r="B78" s="378" t="str">
        <v>یکشنبه</v>
      </c>
      <c r="C78" s="367" t="str">
        <v>[۱۵۰ دقیقه | آسیب‌شناسی روانی]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78" s="367" t="str">
        <v>[۹۰ دقیقه | روان‌شناسی رشد کرین] بازیابی تجمعی و مرور بین‌فصلی، ۵۵ دقیقه + آزمون تجمعی ۹ سؤالی و تحلیل کامل، ۳۵ دقیقه</v>
      </c>
      <c r="E78" s="380" t="str">
        <v>پارت ۱: بازیابی تجمعی + بازآموزی + مرور دفتر خطا + تست و تحلیل | پارت ۲: بازیابی تجمعی + بازآموزی + تست و تحلیل</v>
      </c>
      <c r="F78" s="678" t="n">
        <v>17</v>
      </c>
      <c r="G78" s="378" t="str">
        <v>انجام‌نشده</v>
      </c>
      <c r="H78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78" s="1422" t="n">
        <v>46313</v>
      </c>
      <c r="J78" s="1423" t="n">
        <v>77</v>
      </c>
      <c r="K78" s="1423" t="n">
        <v>12</v>
      </c>
      <c r="L78" s="1423" t="n">
        <v>150</v>
      </c>
      <c r="M78" s="1423" t="n">
        <v>90</v>
      </c>
      <c r="N78" s="1423" t="str">
        <v>آسیب‌شناسی روانی</v>
      </c>
      <c r="O78" s="1423" t="str">
        <v>روان‌شناسی رشد کرین</v>
      </c>
      <c r="P78" s="1423" t="str">
        <v>تثبیت نهایی</v>
      </c>
      <c r="Q78" s="1423" t="str">
        <v>تثبیت نهایی</v>
      </c>
      <c r="R78" s="1423" t="n">
        <v>0</v>
      </c>
      <c r="S78" s="1423" t="n">
        <v>0</v>
      </c>
      <c r="T78" s="1423" t="n">
        <v>0</v>
      </c>
      <c r="U78" s="1423" t="n">
        <v>0</v>
      </c>
      <c r="V78" s="1423" t="n">
        <v>170</v>
      </c>
      <c r="W78" s="1423" t="n">
        <v>33</v>
      </c>
      <c r="X78" s="1423" t="n">
        <v>37</v>
      </c>
      <c r="Y78" s="1423" t="n">
        <v>0</v>
      </c>
      <c r="Z78" s="1423" t="n">
        <v>8</v>
      </c>
      <c r="AA78" s="1423" t="n">
        <v>9</v>
      </c>
      <c r="AB78" s="1423" t="n">
        <f>IF(G78="انجام‌شده",1,IF(G78="نیمه‌انجام",0.5,0))</f>
        <v>0</v>
      </c>
      <c r="AC78" s="1423" t="str">
        <v>خیر</v>
      </c>
      <c r="AD78" s="1423" t="n">
        <v>2</v>
      </c>
      <c r="AE78" s="1423" t="n">
        <f>IF(OR(AG78&lt;&gt;240,AD78&gt;2,AND(AC78="بله",OR(L78&lt;&gt;150,M78&lt;&gt;90))),1,0)</f>
        <v>0</v>
      </c>
      <c r="AF78" s="1423" t="str">
        <f>IF(AE78=0,"معتبر","نیازمند بررسی")</f>
        <v>معتبر</v>
      </c>
      <c r="AG78" s="1423" t="n">
        <v>240</v>
      </c>
      <c r="AH78" s="1423" t="n">
        <v>70</v>
      </c>
      <c r="AI78" s="1423" t="n">
        <v>0</v>
      </c>
      <c r="AJ78" s="1423" t="n">
        <v>17</v>
      </c>
      <c r="AK78" s="1423" t="n">
        <v>150</v>
      </c>
      <c r="AL78" s="1423" t="n">
        <v>90</v>
      </c>
      <c r="AM78" s="1423" t="n">
        <v>0</v>
      </c>
    </row>
    <row r="79" ht="96" customHeight="1">
      <c r="A79" s="652" t="str">
        <v>۱۴۰۵/۰۷/۲۷</v>
      </c>
      <c r="B79" s="290" t="str">
        <v>دوشنبه</v>
      </c>
      <c r="C79" s="281" t="str">
        <v>[۱۵۰ دقیقه | نظریه‌های روان‌درمانی پروچاسکا]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79" s="281" t="str">
        <v>[۹۰ دقیقه | آسیب‌شناسی روانی] بازیابی تجمعی و مرور بین‌فصلی، ۵۵ دقیقه + آزمون تجمعی ۹ سؤالی و تحلیل کامل، ۳۵ دقیقه</v>
      </c>
      <c r="E79" s="380" t="str">
        <v>پارت ۱: بازیابی تجمعی + بازآموزی + مرور دفتر خطا + تست و تحلیل | پارت ۲: بازیابی تجمعی + بازآموزی + تست و تحلیل</v>
      </c>
      <c r="F79" s="678" t="n">
        <v>17</v>
      </c>
      <c r="G79" s="290" t="str">
        <v>انجام‌نشده</v>
      </c>
      <c r="H79" s="390" t="str">
        <v>روش محوری: مرور بازیابی‌محور تطبیقی. منبع تست پارت ۱: فاقد بانک تست مشخص؛ آزمونک بازیابی خودساخته | منبع تست پارت ۲: تست‌های پایان فصل کتاب + کتاب تست تکمیلی؛ در صورت کمبود، آزمونک بازیابی خودساخته</v>
      </c>
      <c r="I79" s="1422" t="n">
        <v>46314</v>
      </c>
      <c r="J79" s="1423" t="n">
        <v>78</v>
      </c>
      <c r="K79" s="1423" t="n">
        <v>12</v>
      </c>
      <c r="L79" s="1423" t="n">
        <v>150</v>
      </c>
      <c r="M79" s="1423" t="n">
        <v>90</v>
      </c>
      <c r="N79" s="1423" t="str">
        <v>نظریه‌های روان‌درمانی پروچاسکا</v>
      </c>
      <c r="O79" s="1423" t="str">
        <v>آسیب‌شناسی روانی</v>
      </c>
      <c r="P79" s="1423" t="str">
        <v>تثبیت نهایی</v>
      </c>
      <c r="Q79" s="1423" t="str">
        <v>تثبیت نهایی</v>
      </c>
      <c r="R79" s="1423" t="n">
        <v>0</v>
      </c>
      <c r="S79" s="1423" t="n">
        <v>0</v>
      </c>
      <c r="T79" s="1423" t="n">
        <v>0</v>
      </c>
      <c r="U79" s="1423" t="n">
        <v>0</v>
      </c>
      <c r="V79" s="1423" t="n">
        <v>170</v>
      </c>
      <c r="W79" s="1423" t="n">
        <v>33</v>
      </c>
      <c r="X79" s="1423" t="n">
        <v>37</v>
      </c>
      <c r="Y79" s="1423" t="n">
        <v>0</v>
      </c>
      <c r="Z79" s="1423" t="n">
        <v>8</v>
      </c>
      <c r="AA79" s="1423" t="n">
        <v>9</v>
      </c>
      <c r="AB79" s="1423" t="n">
        <f>IF(G79="انجام‌شده",1,IF(G79="نیمه‌انجام",0.5,0))</f>
        <v>0</v>
      </c>
      <c r="AC79" s="1423" t="str">
        <v>خیر</v>
      </c>
      <c r="AD79" s="1423" t="n">
        <v>2</v>
      </c>
      <c r="AE79" s="1423" t="n">
        <f>IF(OR(AG79&lt;&gt;240,AD79&gt;2,AND(AC79="بله",OR(L79&lt;&gt;150,M79&lt;&gt;90))),1,0)</f>
        <v>0</v>
      </c>
      <c r="AF79" s="1423" t="str">
        <f>IF(AE79=0,"معتبر","نیازمند بررسی")</f>
        <v>معتبر</v>
      </c>
      <c r="AG79" s="1423" t="n">
        <v>240</v>
      </c>
      <c r="AH79" s="1423" t="n">
        <v>70</v>
      </c>
      <c r="AI79" s="1423" t="n">
        <v>0</v>
      </c>
      <c r="AJ79" s="1423" t="n">
        <v>17</v>
      </c>
      <c r="AK79" s="1423" t="n">
        <v>150</v>
      </c>
      <c r="AL79" s="1423" t="n">
        <v>90</v>
      </c>
      <c r="AM79" s="1423" t="n">
        <v>0</v>
      </c>
    </row>
    <row r="80" ht="96" customHeight="1">
      <c r="A80" s="648" t="str">
        <v>۱۴۰۵/۰۷/۲۸</v>
      </c>
      <c r="B80" s="378" t="str">
        <v>سه‌شنبه</v>
      </c>
      <c r="C80" s="367" t="str">
        <v>[۱۵۰ دقیقه | روان‌شناسی رشد کرین]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80" s="367" t="str">
        <v>[۹۰ دقیقه | نظریه‌های روان‌درمانی پروچاسکا] بازیابی تجمعی و مرور بین‌فصلی، ۵۵ دقیقه + آزمون تجمعی ۹ سؤالی و تحلیل کامل، ۳۵ دقیقه</v>
      </c>
      <c r="E80" s="380" t="str">
        <v>پارت ۱: بازیابی تجمعی + بازآموزی + مرور دفتر خطا + تست و تحلیل | پارت ۲: بازیابی تجمعی + بازآموزی + تست و تحلیل</v>
      </c>
      <c r="F80" s="678" t="n">
        <v>17</v>
      </c>
      <c r="G80" s="378" t="str">
        <v>انجام‌نشده</v>
      </c>
      <c r="H80" s="390" t="str">
        <v>روش محوری: مرور بازیابی‌محور تطبیقی. منبع تست پارت ۱: بانک تست موجود کاربر | منبع تست پارت ۲: فاقد بانک تست مشخص؛ آزمونک بازیابی خودساخته</v>
      </c>
      <c r="I80" s="1422" t="n">
        <v>46315</v>
      </c>
      <c r="J80" s="1423" t="n">
        <v>79</v>
      </c>
      <c r="K80" s="1423" t="n">
        <v>12</v>
      </c>
      <c r="L80" s="1423" t="n">
        <v>150</v>
      </c>
      <c r="M80" s="1423" t="n">
        <v>90</v>
      </c>
      <c r="N80" s="1423" t="str">
        <v>روان‌شناسی رشد کرین</v>
      </c>
      <c r="O80" s="1423" t="str">
        <v>نظریه‌های روان‌درمانی پروچاسکا</v>
      </c>
      <c r="P80" s="1423" t="str">
        <v>تثبیت نهایی</v>
      </c>
      <c r="Q80" s="1423" t="str">
        <v>تثبیت نهایی</v>
      </c>
      <c r="R80" s="1423" t="n">
        <v>0</v>
      </c>
      <c r="S80" s="1423" t="n">
        <v>0</v>
      </c>
      <c r="T80" s="1423" t="n">
        <v>0</v>
      </c>
      <c r="U80" s="1423" t="n">
        <v>0</v>
      </c>
      <c r="V80" s="1423" t="n">
        <v>170</v>
      </c>
      <c r="W80" s="1423" t="n">
        <v>33</v>
      </c>
      <c r="X80" s="1423" t="n">
        <v>37</v>
      </c>
      <c r="Y80" s="1423" t="n">
        <v>0</v>
      </c>
      <c r="Z80" s="1423" t="n">
        <v>8</v>
      </c>
      <c r="AA80" s="1423" t="n">
        <v>9</v>
      </c>
      <c r="AB80" s="1423" t="n">
        <f>IF(G80="انجام‌شده",1,IF(G80="نیمه‌انجام",0.5,0))</f>
        <v>0</v>
      </c>
      <c r="AC80" s="1423" t="str">
        <v>خیر</v>
      </c>
      <c r="AD80" s="1423" t="n">
        <v>2</v>
      </c>
      <c r="AE80" s="1423" t="n">
        <f>IF(OR(AG80&lt;&gt;240,AD80&gt;2,AND(AC80="بله",OR(L80&lt;&gt;150,M80&lt;&gt;90))),1,0)</f>
        <v>0</v>
      </c>
      <c r="AF80" s="1423" t="str">
        <f>IF(AE80=0,"معتبر","نیازمند بررسی")</f>
        <v>معتبر</v>
      </c>
      <c r="AG80" s="1423" t="n">
        <v>240</v>
      </c>
      <c r="AH80" s="1423" t="n">
        <v>70</v>
      </c>
      <c r="AI80" s="1423" t="n">
        <v>0</v>
      </c>
      <c r="AJ80" s="1423" t="n">
        <v>17</v>
      </c>
      <c r="AK80" s="1423" t="n">
        <v>150</v>
      </c>
      <c r="AL80" s="1423" t="n">
        <v>90</v>
      </c>
      <c r="AM80" s="1423" t="n">
        <v>0</v>
      </c>
    </row>
    <row r="81" ht="96" customHeight="1">
      <c r="A81" s="652" t="str">
        <v>۱۴۰۵/۰۷/۲۹</v>
      </c>
      <c r="B81" s="290" t="str">
        <v>چهارشنبه</v>
      </c>
      <c r="C81" s="281" t="str">
        <v>[۱۵۰ دقیقه | آسیب‌شناسی روانی]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81" s="281" t="str">
        <v>[۹۰ دقیقه | روان‌شناسی رشد کرین] بازیابی تجمعی و مرور بین‌فصلی، ۵۵ دقیقه + آزمون تجمعی ۹ سؤالی و تحلیل کامل، ۳۵ دقیقه</v>
      </c>
      <c r="E81" s="380" t="str">
        <v>پارت ۱: بازیابی تجمعی + بازآموزی + مرور دفتر خطا + تست و تحلیل | پارت ۲: بازیابی تجمعی + بازآموزی + تست و تحلیل</v>
      </c>
      <c r="F81" s="678" t="n">
        <v>17</v>
      </c>
      <c r="G81" s="290" t="str">
        <v>انجام‌نشده</v>
      </c>
      <c r="H81" s="390" t="str">
        <v>روش محوری: مرور بازیابی‌محور تطبیقی. منبع تست پارت ۱: تست‌های پایان فصل کتاب + کتاب تست تکمیلی؛ در صورت کمبود، آزمونک بازیابی خودساخته | منبع تست پارت ۲: بانک تست موجود کاربر</v>
      </c>
      <c r="I81" s="1422" t="n">
        <v>46316</v>
      </c>
      <c r="J81" s="1423" t="n">
        <v>80</v>
      </c>
      <c r="K81" s="1423" t="n">
        <v>12</v>
      </c>
      <c r="L81" s="1423" t="n">
        <v>150</v>
      </c>
      <c r="M81" s="1423" t="n">
        <v>90</v>
      </c>
      <c r="N81" s="1423" t="str">
        <v>آسیب‌شناسی روانی</v>
      </c>
      <c r="O81" s="1423" t="str">
        <v>روان‌شناسی رشد کرین</v>
      </c>
      <c r="P81" s="1423" t="str">
        <v>تثبیت نهایی</v>
      </c>
      <c r="Q81" s="1423" t="str">
        <v>تثبیت نهایی</v>
      </c>
      <c r="R81" s="1423" t="n">
        <v>0</v>
      </c>
      <c r="S81" s="1423" t="n">
        <v>0</v>
      </c>
      <c r="T81" s="1423" t="n">
        <v>0</v>
      </c>
      <c r="U81" s="1423" t="n">
        <v>0</v>
      </c>
      <c r="V81" s="1423" t="n">
        <v>170</v>
      </c>
      <c r="W81" s="1423" t="n">
        <v>33</v>
      </c>
      <c r="X81" s="1423" t="n">
        <v>37</v>
      </c>
      <c r="Y81" s="1423" t="n">
        <v>0</v>
      </c>
      <c r="Z81" s="1423" t="n">
        <v>8</v>
      </c>
      <c r="AA81" s="1423" t="n">
        <v>9</v>
      </c>
      <c r="AB81" s="1423" t="n">
        <f>IF(G81="انجام‌شده",1,IF(G81="نیمه‌انجام",0.5,0))</f>
        <v>0</v>
      </c>
      <c r="AC81" s="1423" t="str">
        <v>خیر</v>
      </c>
      <c r="AD81" s="1423" t="n">
        <v>2</v>
      </c>
      <c r="AE81" s="1423" t="n">
        <f>IF(OR(AG81&lt;&gt;240,AD81&gt;2,AND(AC81="بله",OR(L81&lt;&gt;150,M81&lt;&gt;90))),1,0)</f>
        <v>0</v>
      </c>
      <c r="AF81" s="1423" t="str">
        <f>IF(AE81=0,"معتبر","نیازمند بررسی")</f>
        <v>معتبر</v>
      </c>
      <c r="AG81" s="1423" t="n">
        <v>240</v>
      </c>
      <c r="AH81" s="1423" t="n">
        <v>70</v>
      </c>
      <c r="AI81" s="1423" t="n">
        <v>0</v>
      </c>
      <c r="AJ81" s="1423" t="n">
        <v>17</v>
      </c>
      <c r="AK81" s="1423" t="n">
        <v>150</v>
      </c>
      <c r="AL81" s="1423" t="n">
        <v>90</v>
      </c>
      <c r="AM81" s="1423" t="n">
        <v>0</v>
      </c>
    </row>
    <row r="82" ht="96" customHeight="1">
      <c r="A82" s="653" t="str">
        <v>۱۴۰۵/۰۷/۳۰</v>
      </c>
      <c r="B82" s="379" t="str">
        <v>پنجشنبه</v>
      </c>
      <c r="C82" s="370" t="str">
        <v>[۱۵۰ دقیقه | نظریه‌های روان‌درمانی پروچاسکا] بازیابی تجمعی و مقایسه‌ای فصل‌های مطالعه‌شده، ۷۵ دقیقه + بازآموزی نقاط ضعف، ۲۵ دقیقه + مرور دفتر خطا، ۱۵ دقیقه + آزمون تجمعی ۸ سؤالی و تحلیل کامل، ۳۵ دقیقه</v>
      </c>
      <c r="D82" s="370" t="str">
        <v>[۹۰ دقیقه | نظریه‌های روان‌درمانی پروچاسکا] بازیابی تجمعی و مرور بین‌فصلی، ۵۵ دقیقه + آزمون تجمعی ۹ سؤالی و تحلیل کامل، ۳۵ دقیقه</v>
      </c>
      <c r="E82" s="381" t="str">
        <v>پارت ۱: بازیابی تجمعی + بازآموزی + مرور دفتر خطا + تست و تحلیل | پارت ۲: بازیابی تجمعی + بازآموزی + تست و تحلیل</v>
      </c>
      <c r="F82" s="679" t="n">
        <v>17</v>
      </c>
      <c r="G82" s="379" t="str">
        <v>انجام‌نشده</v>
      </c>
      <c r="H82" s="391" t="str">
        <v>روش محوری: مرور بازیابی‌محور تطبیقی. منبع تست پارت ۱: فاقد بانک تست مشخص؛ آزمونک بازیابی خودساخته | منبع تست پارت ۲: فاقد بانک تست مشخص؛ آزمونک بازیابی خودساخته</v>
      </c>
      <c r="I82" s="1422" t="n">
        <v>46317</v>
      </c>
      <c r="J82" s="1423" t="n">
        <v>81</v>
      </c>
      <c r="K82" s="1423" t="n">
        <v>12</v>
      </c>
      <c r="L82" s="1423" t="n">
        <v>150</v>
      </c>
      <c r="M82" s="1423" t="n">
        <v>90</v>
      </c>
      <c r="N82" s="1423" t="str">
        <v>نظریه‌های روان‌درمانی پروچاسکا</v>
      </c>
      <c r="O82" s="1423" t="str">
        <v>نظریه‌های روان‌درمانی پروچاسکا</v>
      </c>
      <c r="P82" s="1423" t="str">
        <v>تثبیت نهایی</v>
      </c>
      <c r="Q82" s="1423" t="str">
        <v>تثبیت نهایی</v>
      </c>
      <c r="R82" s="1423" t="n">
        <v>0</v>
      </c>
      <c r="S82" s="1423" t="n">
        <v>0</v>
      </c>
      <c r="T82" s="1423" t="n">
        <v>0</v>
      </c>
      <c r="U82" s="1423" t="n">
        <v>0</v>
      </c>
      <c r="V82" s="1423" t="n">
        <v>170</v>
      </c>
      <c r="W82" s="1423" t="n">
        <v>33</v>
      </c>
      <c r="X82" s="1423" t="n">
        <v>37</v>
      </c>
      <c r="Y82" s="1423" t="n">
        <v>0</v>
      </c>
      <c r="Z82" s="1423" t="n">
        <v>8</v>
      </c>
      <c r="AA82" s="1423" t="n">
        <v>9</v>
      </c>
      <c r="AB82" s="1423" t="n">
        <f>IF(G82="انجام‌شده",1,IF(G82="نیمه‌انجام",0.5,0))</f>
        <v>0</v>
      </c>
      <c r="AC82" s="1423" t="str">
        <v>خیر</v>
      </c>
      <c r="AD82" s="1423" t="n">
        <v>1</v>
      </c>
      <c r="AE82" s="1423" t="n">
        <f>IF(OR(AG82&lt;&gt;240,AD82&gt;2,AND(AC82="بله",OR(L82&lt;&gt;150,M82&lt;&gt;90))),1,0)</f>
        <v>0</v>
      </c>
      <c r="AF82" s="1423" t="str">
        <f>IF(AE82=0,"معتبر","نیازمند بررسی")</f>
        <v>معتبر</v>
      </c>
      <c r="AG82" s="1423" t="n">
        <v>240</v>
      </c>
      <c r="AH82" s="1423" t="n">
        <v>70</v>
      </c>
      <c r="AI82" s="1423" t="n">
        <v>0</v>
      </c>
      <c r="AJ82" s="1423" t="n">
        <v>17</v>
      </c>
      <c r="AK82" s="1423" t="n">
        <v>150</v>
      </c>
      <c r="AL82" s="1423" t="n">
        <v>90</v>
      </c>
      <c r="AM82" s="1423" t="n">
        <v>0</v>
      </c>
    </row>
  </sheetData>
  <conditionalFormatting sqref="G2:G82">
    <cfRule type="expression" dxfId="0" priority="1">
      <formula>G2="انجام‌شده"</formula>
    </cfRule>
    <cfRule type="expression" dxfId="1" priority="2">
      <formula>G2="نیمه‌انجام"</formula>
    </cfRule>
    <cfRule type="expression" dxfId="2" priority="3">
      <formula>G2="انجام‌نشده"</formula>
    </cfRule>
    <cfRule type="expression" dxfId="21" priority="13">
      <formula>G2="انجام‌شده"</formula>
    </cfRule>
    <cfRule type="expression" dxfId="22" priority="14">
      <formula>G2="نیمه‌انجام"</formula>
    </cfRule>
    <cfRule type="expression" dxfId="23" priority="15">
      <formula>G2="انجام‌نشده"</formula>
    </cfRule>
  </conditionalFormatting>
  <conditionalFormatting sqref="C2:C82">
    <cfRule type="expression" dxfId="12" priority="4">
      <formula>$N2="آسیب‌شناسی روانی"</formula>
    </cfRule>
    <cfRule type="expression" dxfId="14" priority="6">
      <formula>$N2="نظریه‌های روان‌درمانی پروچاسکا"</formula>
    </cfRule>
    <cfRule type="expression" dxfId="16" priority="8">
      <formula>$N2="روان‌شناسی رشد کرین"</formula>
    </cfRule>
  </conditionalFormatting>
  <conditionalFormatting sqref="D2:D82">
    <cfRule type="expression" dxfId="13" priority="5">
      <formula>$O2="آسیب‌شناسی روانی"</formula>
    </cfRule>
    <cfRule type="expression" dxfId="15" priority="7">
      <formula>$O2="نظریه‌های روان‌درمانی پروچاسکا"</formula>
    </cfRule>
    <cfRule type="expression" dxfId="17" priority="9">
      <formula>$O2="روان‌شناسی رشد کرین"</formula>
    </cfRule>
  </conditionalFormatting>
  <conditionalFormatting sqref="A2:B82">
    <cfRule type="expression" dxfId="18" priority="10">
      <formula>$AC2="بله"</formula>
    </cfRule>
  </conditionalFormatting>
  <conditionalFormatting sqref="E2:F82">
    <cfRule type="expression" dxfId="19" priority="11">
      <formula>$AC2="بله"</formula>
    </cfRule>
  </conditionalFormatting>
  <conditionalFormatting sqref="H2:H82">
    <cfRule type="expression" dxfId="20" priority="12">
      <formula>$AC2="بله"</formula>
    </cfRule>
  </conditionalFormatting>
  <conditionalFormatting sqref="A2:H82">
    <cfRule type="expression" dxfId="51" priority="16">
      <formula>I2=TODAY()</formula>
    </cfRule>
  </conditionalFormatting>
  <dataValidations count="1">
    <dataValidation type="list" sqref="G2:G82">
      <formula1>"انجام‌نشده,نیمه‌انجام,انجام‌شده"</formula1>
    </dataValidation>
  </dataValidations>
  <pageMargins left="0.7" right="0.7" top="0.75" bottom="0.75" header="0.3" footer="0.3"/>
  <tableParts count="1">
    <tablePart ns1:id="R9a3eceedcb8f40d4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 rightToLeft="1"/>
  </sheetViews>
  <sheetFormatPr defaultRowHeight="15"/>
  <cols>
    <col min="1" max="1" width="12" hidden="0" customWidth="1"/>
    <col min="2" max="2" width="24" hidden="0" customWidth="1"/>
    <col min="3" max="3" width="29" hidden="0" customWidth="1"/>
    <col min="4" max="4" width="9" hidden="0" customWidth="1"/>
    <col min="5" max="5" width="40" hidden="0" customWidth="1"/>
    <col min="6" max="6" width="23" hidden="0" customWidth="1"/>
    <col min="7" max="7" width="15" hidden="0" customWidth="1"/>
    <col min="8" max="8" width="11" hidden="0" customWidth="1"/>
    <col min="9" max="9" width="15" hidden="0" customWidth="1"/>
    <col min="10" max="10" width="13" hidden="0" customWidth="1"/>
    <col min="11" max="11" width="15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7" hidden="0" customWidth="1"/>
    <col min="18" max="18" width="12" hidden="0" customWidth="1"/>
    <col min="19" max="19" width="15" hidden="0" customWidth="1"/>
    <col min="20" max="20" width="24" hidden="0" customWidth="1"/>
    <col min="21" max="21" width="12" hidden="0" customWidth="1"/>
    <col min="22" max="22" width="12" hidden="0" customWidth="1"/>
    <col min="23" max="23" width="15" hidden="0" customWidth="1"/>
    <col min="24" max="24" width="12" hidden="0" customWidth="1"/>
    <col min="25" max="25" width="14" hidden="0" customWidth="1"/>
    <col min="26" max="26" width="19" hidden="0" customWidth="1"/>
    <col min="27" max="27" width="19" hidden="0" customWidth="1"/>
    <col min="28" max="28" width="15" hidden="0" customWidth="1"/>
    <col min="29" max="29" width="18" hidden="0" customWidth="1"/>
    <col min="30" max="30" width="17" hidden="0" customWidth="1"/>
    <col min="31" max="31" width="44" hidden="0" customWidth="1"/>
    <col min="32" max="32" width="0.10000000149011612" hidden="0" customWidth="1"/>
    <col min="33" max="33" width="0.10000000149011612" hidden="0" customWidth="1"/>
    <col min="34" max="34" width="0.10000000149011612" hidden="0" customWidth="1"/>
    <col min="35" max="35" width="0.10000000149011612" hidden="0" customWidth="1"/>
    <col min="36" max="36" width="0.10000000149011612" hidden="0" customWidth="1"/>
    <col min="37" max="37" width="0.10000000149011612" hidden="0" customWidth="1"/>
    <col min="38" max="38" width="0.10000000149011612" hidden="0" customWidth="1"/>
    <col min="39" max="39" width="0.10000000149011612" hidden="0" customWidth="1"/>
    <col min="40" max="40" width="0.10000000149011612" hidden="0" customWidth="1"/>
    <col min="41" max="41" width="0.10000000149011612" hidden="0" customWidth="1"/>
  </cols>
  <sheetData>
    <row r="1" ht="55" customHeight="1">
      <c r="A1" s="395" t="str">
        <v>شناسه واحد</v>
      </c>
      <c r="B1" s="396" t="str">
        <v>درس</v>
      </c>
      <c r="C1" s="396" t="str">
        <v>منبع</v>
      </c>
      <c r="D1" s="396" t="str">
        <v>فصل</v>
      </c>
      <c r="E1" s="396" t="str">
        <v>عنوان فصل</v>
      </c>
      <c r="F1" s="396" t="str">
        <v>عنوان زیربخش</v>
      </c>
      <c r="G1" s="396" t="str">
        <v>بازهٔ صفحه</v>
      </c>
      <c r="H1" s="396" t="str">
        <v>تعداد صفحات</v>
      </c>
      <c r="I1" s="396" t="str">
        <v>تاریخ مطالعه اولیه</v>
      </c>
      <c r="J1" s="396" t="str">
        <v>مدت مطالعه اولیه</v>
      </c>
      <c r="K1" s="396" t="str">
        <v>تاریخ بازیابی همان‌جلسه</v>
      </c>
      <c r="L1" s="396" t="str">
        <v>تاریخ پایه D+1</v>
      </c>
      <c r="M1" s="396" t="str">
        <v>تاریخ پایه D+3</v>
      </c>
      <c r="N1" s="396" t="str">
        <v>تاریخ پایه D+7</v>
      </c>
      <c r="O1" s="396" t="str">
        <v>تاریخ پایه D+14</v>
      </c>
      <c r="P1" s="396" t="str">
        <v>تاریخ پایه D+28</v>
      </c>
      <c r="Q1" s="396" t="str">
        <v>آخرین تاریخ مرور واقعی</v>
      </c>
      <c r="R1" s="396" t="str">
        <v>فاصله قبلی</v>
      </c>
      <c r="S1" s="396" t="str">
        <v>درصد پاسخ‌های صحیح</v>
      </c>
      <c r="T1" s="396" t="str">
        <v>کیفیت بازیابی</v>
      </c>
      <c r="U1" s="396" t="str">
        <v>سرعت پاسخ</v>
      </c>
      <c r="V1" s="396" t="str">
        <v>میزان اطمینان</v>
      </c>
      <c r="W1" s="396" t="str">
        <v>تعداد موفقیت کامل متوالی</v>
      </c>
      <c r="X1" s="396" t="str">
        <v>خطای مفهومی</v>
      </c>
      <c r="Y1" s="396" t="str">
        <v>نیاز به بازآموزی</v>
      </c>
      <c r="Z1" s="396" t="str">
        <v>تاریخ پیشنهادی مرور بعدی</v>
      </c>
      <c r="AA1" s="396" t="str">
        <v>تاریخ مرور برنامه‌ریزی‌شده</v>
      </c>
      <c r="AB1" s="396" t="str">
        <v>تأخیر/تعجیل (روز)</v>
      </c>
      <c r="AC1" s="396" t="str">
        <v>وضعیت سررسید</v>
      </c>
      <c r="AD1" s="396" t="str">
        <v>انتقال به تثبیت نهایی</v>
      </c>
      <c r="AE1" s="397" t="str">
        <v>توضیح و محدودیت فرمول</v>
      </c>
      <c r="AF1" s="647" t="str">
        <v>تاریخ میلادی مطالعه</v>
      </c>
      <c r="AG1" s="647" t="str">
        <v>D+1 میلادی</v>
      </c>
      <c r="AH1" s="647" t="str">
        <v>D+3 میلادی</v>
      </c>
      <c r="AI1" s="647" t="str">
        <v>D+7 میلادی</v>
      </c>
      <c r="AJ1" s="647" t="str">
        <v>D+14 میلادی</v>
      </c>
      <c r="AK1" s="647" t="str">
        <v>D+28 میلادی</v>
      </c>
      <c r="AL1" s="647" t="str">
        <v>آخرین مرور میلادی</v>
      </c>
      <c r="AM1" s="647" t="str">
        <v>پیشنهاد میلادی</v>
      </c>
      <c r="AN1" s="647" t="str">
        <v>برنامه میلادی</v>
      </c>
      <c r="AO1" s="647" t="str">
        <v>مهلت میلادی</v>
      </c>
    </row>
    <row r="2" ht="38" customHeight="1">
      <c r="A2" s="366" t="str">
        <v>U001</v>
      </c>
      <c r="B2" s="367" t="str">
        <v>آسیب‌شناسی روانی</v>
      </c>
      <c r="C2" s="367" t="str">
        <v>روان‌شناسی مرضی و آسیب‌شناسی</v>
      </c>
      <c r="D2" s="367" t="str">
        <v>1</v>
      </c>
      <c r="E2" s="367" t="str">
        <v>تعریف اختلال روانی</v>
      </c>
      <c r="F2" s="367" t="str">
        <v>واحد مطالعه بر اساس بازهٔ صفحه</v>
      </c>
      <c r="G2" s="367" t="str">
        <v>۲ تا ۲۲</v>
      </c>
      <c r="H2" s="680" t="n">
        <v>21</v>
      </c>
      <c r="I2" s="367" t="str">
        <v>۱۴۰۵/۰۵/۱۲</v>
      </c>
      <c r="J2" s="683" t="n">
        <v>87</v>
      </c>
      <c r="K2" s="367" t="str">
        <v>۱۴۰۵/۰۵/۱۲</v>
      </c>
      <c r="L2" s="367" t="str">
        <v>۱۴۰۵/۰۵/۱۳</v>
      </c>
      <c r="M2" s="367" t="str">
        <v>۱۴۰۵/۰۵/۱۵</v>
      </c>
      <c r="N2" s="367" t="str">
        <v>۱۴۰۵/۰۵/۱۹</v>
      </c>
      <c r="O2" s="367" t="str">
        <v>۱۴۰۵/۰۵/۲۶</v>
      </c>
      <c r="P2" s="367" t="str">
        <v>۱۴۰۵/۰۶/۰۹</v>
      </c>
      <c r="Q2" s="408"/>
      <c r="R2" s="686" t="n">
        <v>1</v>
      </c>
      <c r="S2" s="686"/>
      <c r="T2" s="409"/>
      <c r="U2" s="409"/>
      <c r="V2" s="409"/>
      <c r="W2" s="686" t="str">
        <v>0</v>
      </c>
      <c r="X2" s="409" t="str">
        <v>خیر</v>
      </c>
      <c r="Y2" s="410" t="str">
        <v>خیر</v>
      </c>
      <c r="Z2" s="427" t="str">
        <f>IF(AM2="","",IF(AM2&gt;AO2,"تثبیت نهایی",IFERROR(INDEX('برنامه خرد'!$A$2:$A$82,MATCH(AM2,'برنامه خرد'!$I$2:$I$82,0)),"تثبیت نهایی")))</f>
        <v>۱۴۰۵/۰۵/۱۳</v>
      </c>
      <c r="AA2" s="428" t="str">
        <v>۱۴۰۵/۰۵/۱۳</v>
      </c>
      <c r="AB2" s="689" t="n">
        <f>IF(AM2="","",AM2-AN2)</f>
        <v>0</v>
      </c>
      <c r="AC2" s="428" t="str">
        <f>IF(AM2="","فاقد داده",IF(AM2&gt;AO2,"انتقال به تثبیت نهایی",IF(AM2&lt;TODAY(),"عقب‌افتاده",IF(AM2=TODAY(),"سررسید امروز","آینده"))))</f>
        <v>آینده</v>
      </c>
      <c r="AD2" s="429" t="str">
        <f>IF(OR(AM2&gt;AO2,Z2="تثبیت نهایی"),"بله","خیر")</f>
        <v>خیر</v>
      </c>
      <c r="AE2" s="436" t="str">
        <v>این فرمول فقط تاریخ پیشنهادی را محاسبه می‌کند و ردیف‌های برنامهٔ روزانه را خودکار جابه‌جا نمی‌کند.</v>
      </c>
      <c r="AF2" s="1423" t="n">
        <v>46237</v>
      </c>
      <c r="AG2" s="1423" t="n">
        <v>46238</v>
      </c>
      <c r="AH2" s="1423" t="n">
        <v>46240</v>
      </c>
      <c r="AI2" s="1423" t="n">
        <v>46244</v>
      </c>
      <c r="AJ2" s="1423" t="n">
        <v>46251</v>
      </c>
      <c r="AK2" s="1423" t="n">
        <v>46265</v>
      </c>
      <c r="AL2" s="1423" t="str">
        <f>IFERROR(INDEX('برنامه خرد'!$I$2:$I$82,MATCH(Q2,'برنامه خرد'!$A$2:$A$82,0)),"")</f>
      </c>
      <c r="AM2" s="1423" t="n">
        <f>IF(AL2="",AN2,IF(T2="غلط یا کمتر از ۵۰٪",AL2+1,IF(T2="ناقص یا همراه با حدس",AL2+2,IF(T2="درست ولی کند و مردد",AL2+4,IF(T2="درست، سریع و کامل",IF(W2&gt;=2,AL2+IF(R2&lt;14,14,28),AL2+MIN(28,MAX(3,R2*2))),AN2)))))</f>
        <v>46238</v>
      </c>
      <c r="AN2" s="1423" t="n">
        <v>46238</v>
      </c>
      <c r="AO2" s="1423" t="n">
        <v>46317</v>
      </c>
    </row>
    <row r="3" ht="38" customHeight="1">
      <c r="A3" s="280" t="str">
        <v>U002</v>
      </c>
      <c r="B3" s="281" t="str">
        <v>آسیب‌شناسی روانی</v>
      </c>
      <c r="C3" s="281" t="str">
        <v>روان‌شناسی مرضی و آسیب‌شناسی</v>
      </c>
      <c r="D3" s="281" t="str">
        <v>1</v>
      </c>
      <c r="E3" s="281" t="str">
        <v>تعریف اختلال روانی</v>
      </c>
      <c r="F3" s="281" t="str">
        <v>واحد مطالعه بر اساس بازهٔ صفحه</v>
      </c>
      <c r="G3" s="281" t="str">
        <v>۲۳ تا ۲۸</v>
      </c>
      <c r="H3" s="681" t="n">
        <v>6</v>
      </c>
      <c r="I3" s="281" t="str">
        <v>۱۴۰۵/۰۵/۱۲</v>
      </c>
      <c r="J3" s="684" t="n">
        <v>25</v>
      </c>
      <c r="K3" s="281" t="str">
        <v>۱۴۰۵/۰۵/۱۲</v>
      </c>
      <c r="L3" s="281" t="str">
        <v>۱۴۰۵/۰۵/۱۳</v>
      </c>
      <c r="M3" s="281" t="str">
        <v>۱۴۰۵/۰۵/۱۵</v>
      </c>
      <c r="N3" s="281" t="str">
        <v>۱۴۰۵/۰۵/۱۹</v>
      </c>
      <c r="O3" s="281" t="str">
        <v>۱۴۰۵/۰۵/۲۶</v>
      </c>
      <c r="P3" s="281" t="str">
        <v>۱۴۰۵/۰۶/۰۹</v>
      </c>
      <c r="Q3" s="411"/>
      <c r="R3" s="687" t="n">
        <v>1</v>
      </c>
      <c r="S3" s="687"/>
      <c r="T3" s="412"/>
      <c r="U3" s="412"/>
      <c r="V3" s="412"/>
      <c r="W3" s="687" t="str">
        <v>0</v>
      </c>
      <c r="X3" s="412" t="str">
        <v>خیر</v>
      </c>
      <c r="Y3" s="413" t="str">
        <v>خیر</v>
      </c>
      <c r="Z3" s="430" t="str">
        <f>IF(AM3="","",IF(AM3&gt;AO3,"تثبیت نهایی",IFERROR(INDEX('برنامه خرد'!$A$2:$A$82,MATCH(AM3,'برنامه خرد'!$I$2:$I$82,0)),"تثبیت نهایی")))</f>
        <v>۱۴۰۵/۰۵/۱۳</v>
      </c>
      <c r="AA3" s="431" t="str">
        <v>۱۴۰۵/۰۵/۱۳</v>
      </c>
      <c r="AB3" s="690" t="n">
        <f>IF(AM3="","",AM3-AN3)</f>
        <v>0</v>
      </c>
      <c r="AC3" s="431" t="str">
        <f>IF(AM3="","فاقد داده",IF(AM3&gt;AO3,"انتقال به تثبیت نهایی",IF(AM3&lt;TODAY(),"عقب‌افتاده",IF(AM3=TODAY(),"سررسید امروز","آینده"))))</f>
        <v>آینده</v>
      </c>
      <c r="AD3" s="432" t="str">
        <f>IF(OR(AM3&gt;AO3,Z3="تثبیت نهایی"),"بله","خیر")</f>
        <v>خیر</v>
      </c>
      <c r="AE3" s="436" t="str">
        <v>این فرمول فقط تاریخ پیشنهادی را محاسبه می‌کند و ردیف‌های برنامهٔ روزانه را خودکار جابه‌جا نمی‌کند.</v>
      </c>
      <c r="AF3" s="1423" t="n">
        <v>46237</v>
      </c>
      <c r="AG3" s="1423" t="n">
        <v>46238</v>
      </c>
      <c r="AH3" s="1423" t="n">
        <v>46240</v>
      </c>
      <c r="AI3" s="1423" t="n">
        <v>46244</v>
      </c>
      <c r="AJ3" s="1423" t="n">
        <v>46251</v>
      </c>
      <c r="AK3" s="1423" t="n">
        <v>46265</v>
      </c>
      <c r="AL3" s="1423" t="str">
        <f>IFERROR(INDEX('برنامه خرد'!$I$2:$I$82,MATCH(Q3,'برنامه خرد'!$A$2:$A$82,0)),"")</f>
      </c>
      <c r="AM3" s="1423" t="n">
        <f>IF(AL3="",AN3,IF(T3="غلط یا کمتر از ۵۰٪",AL3+1,IF(T3="ناقص یا همراه با حدس",AL3+2,IF(T3="درست ولی کند و مردد",AL3+4,IF(T3="درست، سریع و کامل",IF(W3&gt;=2,AL3+IF(R3&lt;14,14,28),AL3+MIN(28,MAX(3,R3*2))),AN3)))))</f>
        <v>46238</v>
      </c>
      <c r="AN3" s="1423" t="n">
        <v>46238</v>
      </c>
      <c r="AO3" s="1423" t="n">
        <v>46317</v>
      </c>
    </row>
    <row r="4" ht="38" customHeight="1">
      <c r="A4" s="366" t="str">
        <v>U003</v>
      </c>
      <c r="B4" s="367" t="str">
        <v>آسیب‌شناسی روانی</v>
      </c>
      <c r="C4" s="367" t="str">
        <v>روان‌شناسی مرضی و آسیب‌شناسی</v>
      </c>
      <c r="D4" s="367" t="str">
        <v>1</v>
      </c>
      <c r="E4" s="367" t="str">
        <v>تعریف اختلال روانی</v>
      </c>
      <c r="F4" s="367" t="str">
        <v>واحد مطالعه بر اساس بازهٔ صفحه</v>
      </c>
      <c r="G4" s="367" t="str">
        <v>۲۹ تا ۴۹</v>
      </c>
      <c r="H4" s="680" t="n">
        <v>21</v>
      </c>
      <c r="I4" s="367" t="str">
        <v>۱۴۰۵/۰۵/۱۳</v>
      </c>
      <c r="J4" s="683" t="n">
        <v>87</v>
      </c>
      <c r="K4" s="367" t="str">
        <v>۱۴۰۵/۰۵/۱۳</v>
      </c>
      <c r="L4" s="367" t="str">
        <v>۱۴۰۵/۰۵/۱۴</v>
      </c>
      <c r="M4" s="367" t="str">
        <v>۱۴۰۵/۰۵/۱۶</v>
      </c>
      <c r="N4" s="367" t="str">
        <v>۱۴۰۵/۰۵/۲۰</v>
      </c>
      <c r="O4" s="367" t="str">
        <v>۱۴۰۵/۰۵/۲۷</v>
      </c>
      <c r="P4" s="367" t="str">
        <v>۱۴۰۵/۰۶/۱۰</v>
      </c>
      <c r="Q4" s="411"/>
      <c r="R4" s="687" t="n">
        <v>1</v>
      </c>
      <c r="S4" s="687"/>
      <c r="T4" s="412"/>
      <c r="U4" s="412"/>
      <c r="V4" s="412"/>
      <c r="W4" s="687" t="str">
        <v>0</v>
      </c>
      <c r="X4" s="412" t="str">
        <v>خیر</v>
      </c>
      <c r="Y4" s="413" t="str">
        <v>خیر</v>
      </c>
      <c r="Z4" s="430" t="str">
        <f>IF(AM4="","",IF(AM4&gt;AO4,"تثبیت نهایی",IFERROR(INDEX('برنامه خرد'!$A$2:$A$82,MATCH(AM4,'برنامه خرد'!$I$2:$I$82,0)),"تثبیت نهایی")))</f>
        <v>۱۴۰۵/۰۵/۱۴</v>
      </c>
      <c r="AA4" s="431" t="str">
        <v>۱۴۰۵/۰۵/۱۴</v>
      </c>
      <c r="AB4" s="690" t="n">
        <f>IF(AM4="","",AM4-AN4)</f>
        <v>0</v>
      </c>
      <c r="AC4" s="431" t="str">
        <f>IF(AM4="","فاقد داده",IF(AM4&gt;AO4,"انتقال به تثبیت نهایی",IF(AM4&lt;TODAY(),"عقب‌افتاده",IF(AM4=TODAY(),"سررسید امروز","آینده"))))</f>
        <v>آینده</v>
      </c>
      <c r="AD4" s="432" t="str">
        <f>IF(OR(AM4&gt;AO4,Z4="تثبیت نهایی"),"بله","خیر")</f>
        <v>خیر</v>
      </c>
      <c r="AE4" s="436" t="str">
        <v>این فرمول فقط تاریخ پیشنهادی را محاسبه می‌کند و ردیف‌های برنامهٔ روزانه را خودکار جابه‌جا نمی‌کند.</v>
      </c>
      <c r="AF4" s="1423" t="n">
        <v>46238</v>
      </c>
      <c r="AG4" s="1423" t="n">
        <v>46239</v>
      </c>
      <c r="AH4" s="1423" t="n">
        <v>46241</v>
      </c>
      <c r="AI4" s="1423" t="n">
        <v>46245</v>
      </c>
      <c r="AJ4" s="1423" t="n">
        <v>46252</v>
      </c>
      <c r="AK4" s="1423" t="n">
        <v>46266</v>
      </c>
      <c r="AL4" s="1423" t="str">
        <f>IFERROR(INDEX('برنامه خرد'!$I$2:$I$82,MATCH(Q4,'برنامه خرد'!$A$2:$A$82,0)),"")</f>
      </c>
      <c r="AM4" s="1423" t="n">
        <f>IF(AL4="",AN4,IF(T4="غلط یا کمتر از ۵۰٪",AL4+1,IF(T4="ناقص یا همراه با حدس",AL4+2,IF(T4="درست ولی کند و مردد",AL4+4,IF(T4="درست، سریع و کامل",IF(W4&gt;=2,AL4+IF(R4&lt;14,14,28),AL4+MIN(28,MAX(3,R4*2))),AN4)))))</f>
        <v>46239</v>
      </c>
      <c r="AN4" s="1423" t="n">
        <v>46239</v>
      </c>
      <c r="AO4" s="1423" t="n">
        <v>46317</v>
      </c>
    </row>
    <row r="5" ht="38" customHeight="1">
      <c r="A5" s="280" t="str">
        <v>U004</v>
      </c>
      <c r="B5" s="281" t="str">
        <v>آسیب‌شناسی روانی</v>
      </c>
      <c r="C5" s="281" t="str">
        <v>روان‌شناسی مرضی و آسیب‌شناسی</v>
      </c>
      <c r="D5" s="281" t="str">
        <v>1</v>
      </c>
      <c r="E5" s="281" t="str">
        <v>تعریف اختلال روانی</v>
      </c>
      <c r="F5" s="281" t="str">
        <v>واحد مطالعه بر اساس بازهٔ صفحه</v>
      </c>
      <c r="G5" s="281" t="str">
        <v>۵۰ تا ۷۰</v>
      </c>
      <c r="H5" s="681" t="n">
        <v>21</v>
      </c>
      <c r="I5" s="281" t="str">
        <v>۱۴۰۵/۰۵/۱۴</v>
      </c>
      <c r="J5" s="684" t="n">
        <v>87</v>
      </c>
      <c r="K5" s="281" t="str">
        <v>۱۴۰۵/۰۵/۱۴</v>
      </c>
      <c r="L5" s="281" t="str">
        <v>۱۴۰۵/۰۵/۱۵</v>
      </c>
      <c r="M5" s="281" t="str">
        <v>۱۴۰۵/۰۵/۱۷</v>
      </c>
      <c r="N5" s="281" t="str">
        <v>۱۴۰۵/۰۵/۲۱</v>
      </c>
      <c r="O5" s="281" t="str">
        <v>۱۴۰۵/۰۵/۲۸</v>
      </c>
      <c r="P5" s="281" t="str">
        <v>۱۴۰۵/۰۶/۱۱</v>
      </c>
      <c r="Q5" s="411"/>
      <c r="R5" s="687" t="n">
        <v>1</v>
      </c>
      <c r="S5" s="687"/>
      <c r="T5" s="412"/>
      <c r="U5" s="412"/>
      <c r="V5" s="412"/>
      <c r="W5" s="687" t="str">
        <v>0</v>
      </c>
      <c r="X5" s="412" t="str">
        <v>خیر</v>
      </c>
      <c r="Y5" s="413" t="str">
        <v>خیر</v>
      </c>
      <c r="Z5" s="430" t="str">
        <f>IF(AM5="","",IF(AM5&gt;AO5,"تثبیت نهایی",IFERROR(INDEX('برنامه خرد'!$A$2:$A$82,MATCH(AM5,'برنامه خرد'!$I$2:$I$82,0)),"تثبیت نهایی")))</f>
        <v>۱۴۰۵/۰۵/۱۵</v>
      </c>
      <c r="AA5" s="431" t="str">
        <v>۱۴۰۵/۰۵/۱۵</v>
      </c>
      <c r="AB5" s="690" t="n">
        <f>IF(AM5="","",AM5-AN5)</f>
        <v>0</v>
      </c>
      <c r="AC5" s="431" t="str">
        <f>IF(AM5="","فاقد داده",IF(AM5&gt;AO5,"انتقال به تثبیت نهایی",IF(AM5&lt;TODAY(),"عقب‌افتاده",IF(AM5=TODAY(),"سررسید امروز","آینده"))))</f>
        <v>آینده</v>
      </c>
      <c r="AD5" s="432" t="str">
        <f>IF(OR(AM5&gt;AO5,Z5="تثبیت نهایی"),"بله","خیر")</f>
        <v>خیر</v>
      </c>
      <c r="AE5" s="436" t="str">
        <v>این فرمول فقط تاریخ پیشنهادی را محاسبه می‌کند و ردیف‌های برنامهٔ روزانه را خودکار جابه‌جا نمی‌کند.</v>
      </c>
      <c r="AF5" s="1423" t="n">
        <v>46239</v>
      </c>
      <c r="AG5" s="1423" t="n">
        <v>46240</v>
      </c>
      <c r="AH5" s="1423" t="n">
        <v>46242</v>
      </c>
      <c r="AI5" s="1423" t="n">
        <v>46246</v>
      </c>
      <c r="AJ5" s="1423" t="n">
        <v>46253</v>
      </c>
      <c r="AK5" s="1423" t="n">
        <v>46267</v>
      </c>
      <c r="AL5" s="1423" t="str">
        <f>IFERROR(INDEX('برنامه خرد'!$I$2:$I$82,MATCH(Q5,'برنامه خرد'!$A$2:$A$82,0)),"")</f>
      </c>
      <c r="AM5" s="1423" t="n">
        <f>IF(AL5="",AN5,IF(T5="غلط یا کمتر از ۵۰٪",AL5+1,IF(T5="ناقص یا همراه با حدس",AL5+2,IF(T5="درست ولی کند و مردد",AL5+4,IF(T5="درست، سریع و کامل",IF(W5&gt;=2,AL5+IF(R5&lt;14,14,28),AL5+MIN(28,MAX(3,R5*2))),AN5)))))</f>
        <v>46240</v>
      </c>
      <c r="AN5" s="1423" t="n">
        <v>46240</v>
      </c>
      <c r="AO5" s="1423" t="n">
        <v>46317</v>
      </c>
    </row>
    <row r="6" ht="38" customHeight="1">
      <c r="A6" s="366" t="str">
        <v>U005</v>
      </c>
      <c r="B6" s="367" t="str">
        <v>آسیب‌شناسی روانی</v>
      </c>
      <c r="C6" s="367" t="str">
        <v>روان‌شناسی مرضی و آسیب‌شناسی</v>
      </c>
      <c r="D6" s="367" t="str">
        <v>1</v>
      </c>
      <c r="E6" s="367" t="str">
        <v>تعریف اختلال روانی</v>
      </c>
      <c r="F6" s="367" t="str">
        <v>واحد مطالعه بر اساس بازهٔ صفحه</v>
      </c>
      <c r="G6" s="367" t="str">
        <v>۷۱ تا ۷۶</v>
      </c>
      <c r="H6" s="680" t="n">
        <v>6</v>
      </c>
      <c r="I6" s="367" t="str">
        <v>۱۴۰۵/۰۵/۱۵</v>
      </c>
      <c r="J6" s="683" t="n">
        <v>25</v>
      </c>
      <c r="K6" s="367" t="str">
        <v>۱۴۰۵/۰۵/۱۵</v>
      </c>
      <c r="L6" s="367" t="str">
        <v>۱۴۰۵/۰۵/۱۶</v>
      </c>
      <c r="M6" s="367" t="str">
        <v>۱۴۰۵/۰۵/۱۸</v>
      </c>
      <c r="N6" s="367" t="str">
        <v>۱۴۰۵/۰۵/۲۲</v>
      </c>
      <c r="O6" s="367" t="str">
        <v>۱۴۰۵/۰۵/۲۹</v>
      </c>
      <c r="P6" s="367" t="str">
        <v>۱۴۰۵/۰۶/۱۲</v>
      </c>
      <c r="Q6" s="411"/>
      <c r="R6" s="687" t="n">
        <v>1</v>
      </c>
      <c r="S6" s="687"/>
      <c r="T6" s="412"/>
      <c r="U6" s="412"/>
      <c r="V6" s="412"/>
      <c r="W6" s="687" t="str">
        <v>0</v>
      </c>
      <c r="X6" s="412" t="str">
        <v>خیر</v>
      </c>
      <c r="Y6" s="413" t="str">
        <v>خیر</v>
      </c>
      <c r="Z6" s="430" t="str">
        <f>IF(AM6="","",IF(AM6&gt;AO6,"تثبیت نهایی",IFERROR(INDEX('برنامه خرد'!$A$2:$A$82,MATCH(AM6,'برنامه خرد'!$I$2:$I$82,0)),"تثبیت نهایی")))</f>
        <v>۱۴۰۵/۰۵/۱۶</v>
      </c>
      <c r="AA6" s="431" t="str">
        <v>۱۴۰۵/۰۵/۱۶</v>
      </c>
      <c r="AB6" s="690" t="n">
        <f>IF(AM6="","",AM6-AN6)</f>
        <v>0</v>
      </c>
      <c r="AC6" s="431" t="str">
        <f>IF(AM6="","فاقد داده",IF(AM6&gt;AO6,"انتقال به تثبیت نهایی",IF(AM6&lt;TODAY(),"عقب‌افتاده",IF(AM6=TODAY(),"سررسید امروز","آینده"))))</f>
        <v>آینده</v>
      </c>
      <c r="AD6" s="432" t="str">
        <f>IF(OR(AM6&gt;AO6,Z6="تثبیت نهایی"),"بله","خیر")</f>
        <v>خیر</v>
      </c>
      <c r="AE6" s="436" t="str">
        <v>این فرمول فقط تاریخ پیشنهادی را محاسبه می‌کند و ردیف‌های برنامهٔ روزانه را خودکار جابه‌جا نمی‌کند.</v>
      </c>
      <c r="AF6" s="1423" t="n">
        <v>46240</v>
      </c>
      <c r="AG6" s="1423" t="n">
        <v>46241</v>
      </c>
      <c r="AH6" s="1423" t="n">
        <v>46243</v>
      </c>
      <c r="AI6" s="1423" t="n">
        <v>46247</v>
      </c>
      <c r="AJ6" s="1423" t="n">
        <v>46254</v>
      </c>
      <c r="AK6" s="1423" t="n">
        <v>46268</v>
      </c>
      <c r="AL6" s="1423" t="str">
        <f>IFERROR(INDEX('برنامه خرد'!$I$2:$I$82,MATCH(Q6,'برنامه خرد'!$A$2:$A$82,0)),"")</f>
      </c>
      <c r="AM6" s="1423" t="n">
        <f>IF(AL6="",AN6,IF(T6="غلط یا کمتر از ۵۰٪",AL6+1,IF(T6="ناقص یا همراه با حدس",AL6+2,IF(T6="درست ولی کند و مردد",AL6+4,IF(T6="درست، سریع و کامل",IF(W6&gt;=2,AL6+IF(R6&lt;14,14,28),AL6+MIN(28,MAX(3,R6*2))),AN6)))))</f>
        <v>46241</v>
      </c>
      <c r="AN6" s="1423" t="n">
        <v>46241</v>
      </c>
      <c r="AO6" s="1423" t="n">
        <v>46317</v>
      </c>
    </row>
    <row r="7" ht="38" customHeight="1">
      <c r="A7" s="280" t="str">
        <v>U006</v>
      </c>
      <c r="B7" s="281" t="str">
        <v>آسیب‌شناسی روانی</v>
      </c>
      <c r="C7" s="281" t="str">
        <v>روان‌شناسی مرضی و آسیب‌شناسی</v>
      </c>
      <c r="D7" s="281" t="str">
        <v>1</v>
      </c>
      <c r="E7" s="281" t="str">
        <v>تعریف اختلال روانی</v>
      </c>
      <c r="F7" s="281" t="str">
        <v>واحد مطالعه بر اساس بازهٔ صفحه</v>
      </c>
      <c r="G7" s="281" t="str">
        <v>۷۷ تا ۹۴</v>
      </c>
      <c r="H7" s="681" t="n">
        <v>18</v>
      </c>
      <c r="I7" s="281" t="str">
        <v>۱۴۰۵/۰۵/۱۶</v>
      </c>
      <c r="J7" s="684" t="n">
        <v>74.6</v>
      </c>
      <c r="K7" s="281" t="str">
        <v>۱۴۰۵/۰۵/۱۶</v>
      </c>
      <c r="L7" s="281" t="str">
        <v>۱۴۰۵/۰۵/۱۷</v>
      </c>
      <c r="M7" s="281" t="str">
        <v>۱۴۰۵/۰۵/۱۹</v>
      </c>
      <c r="N7" s="281" t="str">
        <v>۱۴۰۵/۰۵/۲۳</v>
      </c>
      <c r="O7" s="281" t="str">
        <v>۱۴۰۵/۰۵/۳۰</v>
      </c>
      <c r="P7" s="281" t="str">
        <v>۱۴۰۵/۰۶/۱۳</v>
      </c>
      <c r="Q7" s="411"/>
      <c r="R7" s="687" t="n">
        <v>1</v>
      </c>
      <c r="S7" s="687"/>
      <c r="T7" s="412"/>
      <c r="U7" s="412"/>
      <c r="V7" s="412"/>
      <c r="W7" s="687" t="str">
        <v>0</v>
      </c>
      <c r="X7" s="412" t="str">
        <v>خیر</v>
      </c>
      <c r="Y7" s="413" t="str">
        <v>خیر</v>
      </c>
      <c r="Z7" s="430" t="str">
        <f>IF(AM7="","",IF(AM7&gt;AO7,"تثبیت نهایی",IFERROR(INDEX('برنامه خرد'!$A$2:$A$82,MATCH(AM7,'برنامه خرد'!$I$2:$I$82,0)),"تثبیت نهایی")))</f>
        <v>۱۴۰۵/۰۵/۱۷</v>
      </c>
      <c r="AA7" s="431" t="str">
        <v>۱۴۰۵/۰۵/۱۷</v>
      </c>
      <c r="AB7" s="690" t="n">
        <f>IF(AM7="","",AM7-AN7)</f>
        <v>0</v>
      </c>
      <c r="AC7" s="431" t="str">
        <f>IF(AM7="","فاقد داده",IF(AM7&gt;AO7,"انتقال به تثبیت نهایی",IF(AM7&lt;TODAY(),"عقب‌افتاده",IF(AM7=TODAY(),"سررسید امروز","آینده"))))</f>
        <v>آینده</v>
      </c>
      <c r="AD7" s="432" t="str">
        <f>IF(OR(AM7&gt;AO7,Z7="تثبیت نهایی"),"بله","خیر")</f>
        <v>خیر</v>
      </c>
      <c r="AE7" s="436" t="str">
        <v>این فرمول فقط تاریخ پیشنهادی را محاسبه می‌کند و ردیف‌های برنامهٔ روزانه را خودکار جابه‌جا نمی‌کند.</v>
      </c>
      <c r="AF7" s="1423" t="n">
        <v>46241</v>
      </c>
      <c r="AG7" s="1423" t="n">
        <v>46242</v>
      </c>
      <c r="AH7" s="1423" t="n">
        <v>46244</v>
      </c>
      <c r="AI7" s="1423" t="n">
        <v>46248</v>
      </c>
      <c r="AJ7" s="1423" t="n">
        <v>46255</v>
      </c>
      <c r="AK7" s="1423" t="n">
        <v>46269</v>
      </c>
      <c r="AL7" s="1423" t="str">
        <f>IFERROR(INDEX('برنامه خرد'!$I$2:$I$82,MATCH(Q7,'برنامه خرد'!$A$2:$A$82,0)),"")</f>
      </c>
      <c r="AM7" s="1423" t="n">
        <f>IF(AL7="",AN7,IF(T7="غلط یا کمتر از ۵۰٪",AL7+1,IF(T7="ناقص یا همراه با حدس",AL7+2,IF(T7="درست ولی کند و مردد",AL7+4,IF(T7="درست، سریع و کامل",IF(W7&gt;=2,AL7+IF(R7&lt;14,14,28),AL7+MIN(28,MAX(3,R7*2))),AN7)))))</f>
        <v>46242</v>
      </c>
      <c r="AN7" s="1423" t="n">
        <v>46242</v>
      </c>
      <c r="AO7" s="1423" t="n">
        <v>46317</v>
      </c>
    </row>
    <row r="8" ht="38" customHeight="1">
      <c r="A8" s="366" t="str">
        <v>U007</v>
      </c>
      <c r="B8" s="367" t="str">
        <v>آسیب‌شناسی روانی</v>
      </c>
      <c r="C8" s="367" t="str">
        <v>روان‌شناسی مرضی و آسیب‌شناسی</v>
      </c>
      <c r="D8" s="367" t="str">
        <v>2</v>
      </c>
      <c r="E8" s="367" t="str">
        <v>اختلال عصبی ـ رشدی</v>
      </c>
      <c r="F8" s="367" t="str">
        <v>واحد مطالعه بر اساس بازهٔ صفحه</v>
      </c>
      <c r="G8" s="367" t="str">
        <v>۹۵ تا ۹۷</v>
      </c>
      <c r="H8" s="680" t="n">
        <v>3</v>
      </c>
      <c r="I8" s="367" t="str">
        <v>۱۴۰۵/۰۵/۱۶</v>
      </c>
      <c r="J8" s="683" t="n">
        <v>12.4</v>
      </c>
      <c r="K8" s="367" t="str">
        <v>۱۴۰۵/۰۵/۱۶</v>
      </c>
      <c r="L8" s="367" t="str">
        <v>۱۴۰۵/۰۵/۱۷</v>
      </c>
      <c r="M8" s="367" t="str">
        <v>۱۴۰۵/۰۵/۱۹</v>
      </c>
      <c r="N8" s="367" t="str">
        <v>۱۴۰۵/۰۵/۲۳</v>
      </c>
      <c r="O8" s="367" t="str">
        <v>۱۴۰۵/۰۵/۳۰</v>
      </c>
      <c r="P8" s="367" t="str">
        <v>۱۴۰۵/۰۶/۱۳</v>
      </c>
      <c r="Q8" s="411"/>
      <c r="R8" s="687" t="n">
        <v>1</v>
      </c>
      <c r="S8" s="687"/>
      <c r="T8" s="412"/>
      <c r="U8" s="412"/>
      <c r="V8" s="412"/>
      <c r="W8" s="687" t="str">
        <v>0</v>
      </c>
      <c r="X8" s="412" t="str">
        <v>خیر</v>
      </c>
      <c r="Y8" s="413" t="str">
        <v>خیر</v>
      </c>
      <c r="Z8" s="430" t="str">
        <f>IF(AM8="","",IF(AM8&gt;AO8,"تثبیت نهایی",IFERROR(INDEX('برنامه خرد'!$A$2:$A$82,MATCH(AM8,'برنامه خرد'!$I$2:$I$82,0)),"تثبیت نهایی")))</f>
        <v>۱۴۰۵/۰۵/۱۷</v>
      </c>
      <c r="AA8" s="431" t="str">
        <v>۱۴۰۵/۰۵/۱۷</v>
      </c>
      <c r="AB8" s="690" t="n">
        <f>IF(AM8="","",AM8-AN8)</f>
        <v>0</v>
      </c>
      <c r="AC8" s="431" t="str">
        <f>IF(AM8="","فاقد داده",IF(AM8&gt;AO8,"انتقال به تثبیت نهایی",IF(AM8&lt;TODAY(),"عقب‌افتاده",IF(AM8=TODAY(),"سررسید امروز","آینده"))))</f>
        <v>آینده</v>
      </c>
      <c r="AD8" s="432" t="str">
        <f>IF(OR(AM8&gt;AO8,Z8="تثبیت نهایی"),"بله","خیر")</f>
        <v>خیر</v>
      </c>
      <c r="AE8" s="436" t="str">
        <v>این فرمول فقط تاریخ پیشنهادی را محاسبه می‌کند و ردیف‌های برنامهٔ روزانه را خودکار جابه‌جا نمی‌کند.</v>
      </c>
      <c r="AF8" s="1423" t="n">
        <v>46241</v>
      </c>
      <c r="AG8" s="1423" t="n">
        <v>46242</v>
      </c>
      <c r="AH8" s="1423" t="n">
        <v>46244</v>
      </c>
      <c r="AI8" s="1423" t="n">
        <v>46248</v>
      </c>
      <c r="AJ8" s="1423" t="n">
        <v>46255</v>
      </c>
      <c r="AK8" s="1423" t="n">
        <v>46269</v>
      </c>
      <c r="AL8" s="1423" t="str">
        <f>IFERROR(INDEX('برنامه خرد'!$I$2:$I$82,MATCH(Q8,'برنامه خرد'!$A$2:$A$82,0)),"")</f>
      </c>
      <c r="AM8" s="1423" t="n">
        <f>IF(AL8="",AN8,IF(T8="غلط یا کمتر از ۵۰٪",AL8+1,IF(T8="ناقص یا همراه با حدس",AL8+2,IF(T8="درست ولی کند و مردد",AL8+4,IF(T8="درست، سریع و کامل",IF(W8&gt;=2,AL8+IF(R8&lt;14,14,28),AL8+MIN(28,MAX(3,R8*2))),AN8)))))</f>
        <v>46242</v>
      </c>
      <c r="AN8" s="1423" t="n">
        <v>46242</v>
      </c>
      <c r="AO8" s="1423" t="n">
        <v>46317</v>
      </c>
    </row>
    <row r="9" ht="38" customHeight="1">
      <c r="A9" s="280" t="str">
        <v>U008</v>
      </c>
      <c r="B9" s="281" t="str">
        <v>آسیب‌شناسی روانی</v>
      </c>
      <c r="C9" s="281" t="str">
        <v>روان‌شناسی مرضی و آسیب‌شناسی</v>
      </c>
      <c r="D9" s="281" t="str">
        <v>2</v>
      </c>
      <c r="E9" s="281" t="str">
        <v>اختلال عصبی ـ رشدی</v>
      </c>
      <c r="F9" s="281" t="str">
        <v>واحد مطالعه بر اساس بازهٔ صفحه</v>
      </c>
      <c r="G9" s="281" t="str">
        <v>۹۸ تا ۱۰۳</v>
      </c>
      <c r="H9" s="681" t="n">
        <v>6</v>
      </c>
      <c r="I9" s="281" t="str">
        <v>۱۴۰۵/۰۵/۱۷</v>
      </c>
      <c r="J9" s="684" t="n">
        <v>25</v>
      </c>
      <c r="K9" s="281" t="str">
        <v>۱۴۰۵/۰۵/۱۷</v>
      </c>
      <c r="L9" s="281" t="str">
        <v>۱۴۰۵/۰۵/۱۸</v>
      </c>
      <c r="M9" s="281" t="str">
        <v>۱۴۰۵/۰۵/۲۰</v>
      </c>
      <c r="N9" s="281" t="str">
        <v>۱۴۰۵/۰۵/۲۴</v>
      </c>
      <c r="O9" s="281" t="str">
        <v>۱۴۰۵/۰۵/۳۱</v>
      </c>
      <c r="P9" s="281" t="str">
        <v>۱۴۰۵/۰۶/۱۴</v>
      </c>
      <c r="Q9" s="411"/>
      <c r="R9" s="687" t="n">
        <v>1</v>
      </c>
      <c r="S9" s="687"/>
      <c r="T9" s="412"/>
      <c r="U9" s="412"/>
      <c r="V9" s="412"/>
      <c r="W9" s="687" t="str">
        <v>0</v>
      </c>
      <c r="X9" s="412" t="str">
        <v>خیر</v>
      </c>
      <c r="Y9" s="413" t="str">
        <v>خیر</v>
      </c>
      <c r="Z9" s="430" t="str">
        <f>IF(AM9="","",IF(AM9&gt;AO9,"تثبیت نهایی",IFERROR(INDEX('برنامه خرد'!$A$2:$A$82,MATCH(AM9,'برنامه خرد'!$I$2:$I$82,0)),"تثبیت نهایی")))</f>
        <v>۱۴۰۵/۰۵/۱۸</v>
      </c>
      <c r="AA9" s="431" t="str">
        <v>۱۴۰۵/۰۵/۱۸</v>
      </c>
      <c r="AB9" s="690" t="n">
        <f>IF(AM9="","",AM9-AN9)</f>
        <v>0</v>
      </c>
      <c r="AC9" s="431" t="str">
        <f>IF(AM9="","فاقد داده",IF(AM9&gt;AO9,"انتقال به تثبیت نهایی",IF(AM9&lt;TODAY(),"عقب‌افتاده",IF(AM9=TODAY(),"سررسید امروز","آینده"))))</f>
        <v>آینده</v>
      </c>
      <c r="AD9" s="432" t="str">
        <f>IF(OR(AM9&gt;AO9,Z9="تثبیت نهایی"),"بله","خیر")</f>
        <v>خیر</v>
      </c>
      <c r="AE9" s="436" t="str">
        <v>این فرمول فقط تاریخ پیشنهادی را محاسبه می‌کند و ردیف‌های برنامهٔ روزانه را خودکار جابه‌جا نمی‌کند.</v>
      </c>
      <c r="AF9" s="1423" t="n">
        <v>46242</v>
      </c>
      <c r="AG9" s="1423" t="n">
        <v>46243</v>
      </c>
      <c r="AH9" s="1423" t="n">
        <v>46245</v>
      </c>
      <c r="AI9" s="1423" t="n">
        <v>46249</v>
      </c>
      <c r="AJ9" s="1423" t="n">
        <v>46256</v>
      </c>
      <c r="AK9" s="1423" t="n">
        <v>46270</v>
      </c>
      <c r="AL9" s="1423" t="str">
        <f>IFERROR(INDEX('برنامه خرد'!$I$2:$I$82,MATCH(Q9,'برنامه خرد'!$A$2:$A$82,0)),"")</f>
      </c>
      <c r="AM9" s="1423" t="n">
        <f>IF(AL9="",AN9,IF(T9="غلط یا کمتر از ۵۰٪",AL9+1,IF(T9="ناقص یا همراه با حدس",AL9+2,IF(T9="درست ولی کند و مردد",AL9+4,IF(T9="درست، سریع و کامل",IF(W9&gt;=2,AL9+IF(R9&lt;14,14,28),AL9+MIN(28,MAX(3,R9*2))),AN9)))))</f>
        <v>46243</v>
      </c>
      <c r="AN9" s="1423" t="n">
        <v>46243</v>
      </c>
      <c r="AO9" s="1423" t="n">
        <v>46317</v>
      </c>
    </row>
    <row r="10" ht="38" customHeight="1">
      <c r="A10" s="366" t="str">
        <v>U009</v>
      </c>
      <c r="B10" s="367" t="str">
        <v>آسیب‌شناسی روانی</v>
      </c>
      <c r="C10" s="367" t="str">
        <v>روان‌شناسی مرضی و آسیب‌شناسی</v>
      </c>
      <c r="D10" s="367" t="str">
        <v>2</v>
      </c>
      <c r="E10" s="367" t="str">
        <v>اختلال عصبی ـ رشدی</v>
      </c>
      <c r="F10" s="367" t="str">
        <v>واحد مطالعه بر اساس بازهٔ صفحه</v>
      </c>
      <c r="G10" s="367" t="str">
        <v>۱۰۴ تا ۱۲۴</v>
      </c>
      <c r="H10" s="680" t="n">
        <v>21</v>
      </c>
      <c r="I10" s="367" t="str">
        <v>۱۴۰۵/۰۵/۱۸</v>
      </c>
      <c r="J10" s="683" t="n">
        <v>87</v>
      </c>
      <c r="K10" s="367" t="str">
        <v>۱۴۰۵/۰۵/۱۸</v>
      </c>
      <c r="L10" s="367" t="str">
        <v>۱۴۰۵/۰۵/۱۹</v>
      </c>
      <c r="M10" s="367" t="str">
        <v>۱۴۰۵/۰۵/۲۱</v>
      </c>
      <c r="N10" s="367" t="str">
        <v>۱۴۰۵/۰۵/۲۵</v>
      </c>
      <c r="O10" s="367" t="str">
        <v>۱۴۰۵/۰۶/۰۱</v>
      </c>
      <c r="P10" s="367" t="str">
        <v>۱۴۰۵/۰۶/۱۵</v>
      </c>
      <c r="Q10" s="411"/>
      <c r="R10" s="687" t="n">
        <v>1</v>
      </c>
      <c r="S10" s="687"/>
      <c r="T10" s="412"/>
      <c r="U10" s="412"/>
      <c r="V10" s="412"/>
      <c r="W10" s="687" t="str">
        <v>0</v>
      </c>
      <c r="X10" s="412" t="str">
        <v>خیر</v>
      </c>
      <c r="Y10" s="413" t="str">
        <v>خیر</v>
      </c>
      <c r="Z10" s="430" t="str">
        <f>IF(AM10="","",IF(AM10&gt;AO10,"تثبیت نهایی",IFERROR(INDEX('برنامه خرد'!$A$2:$A$82,MATCH(AM10,'برنامه خرد'!$I$2:$I$82,0)),"تثبیت نهایی")))</f>
        <v>۱۴۰۵/۰۵/۱۹</v>
      </c>
      <c r="AA10" s="431" t="str">
        <v>۱۴۰۵/۰۵/۱۹</v>
      </c>
      <c r="AB10" s="690" t="n">
        <f>IF(AM10="","",AM10-AN10)</f>
        <v>0</v>
      </c>
      <c r="AC10" s="431" t="str">
        <f>IF(AM10="","فاقد داده",IF(AM10&gt;AO10,"انتقال به تثبیت نهایی",IF(AM10&lt;TODAY(),"عقب‌افتاده",IF(AM10=TODAY(),"سررسید امروز","آینده"))))</f>
        <v>آینده</v>
      </c>
      <c r="AD10" s="432" t="str">
        <f>IF(OR(AM10&gt;AO10,Z10="تثبیت نهایی"),"بله","خیر")</f>
        <v>خیر</v>
      </c>
      <c r="AE10" s="436" t="str">
        <v>این فرمول فقط تاریخ پیشنهادی را محاسبه می‌کند و ردیف‌های برنامهٔ روزانه را خودکار جابه‌جا نمی‌کند.</v>
      </c>
      <c r="AF10" s="1423" t="n">
        <v>46243</v>
      </c>
      <c r="AG10" s="1423" t="n">
        <v>46244</v>
      </c>
      <c r="AH10" s="1423" t="n">
        <v>46246</v>
      </c>
      <c r="AI10" s="1423" t="n">
        <v>46250</v>
      </c>
      <c r="AJ10" s="1423" t="n">
        <v>46257</v>
      </c>
      <c r="AK10" s="1423" t="n">
        <v>46271</v>
      </c>
      <c r="AL10" s="1423" t="str">
        <f>IFERROR(INDEX('برنامه خرد'!$I$2:$I$82,MATCH(Q10,'برنامه خرد'!$A$2:$A$82,0)),"")</f>
      </c>
      <c r="AM10" s="1423" t="n">
        <f>IF(AL10="",AN10,IF(T10="غلط یا کمتر از ۵۰٪",AL10+1,IF(T10="ناقص یا همراه با حدس",AL10+2,IF(T10="درست ولی کند و مردد",AL10+4,IF(T10="درست، سریع و کامل",IF(W10&gt;=2,AL10+IF(R10&lt;14,14,28),AL10+MIN(28,MAX(3,R10*2))),AN10)))))</f>
        <v>46244</v>
      </c>
      <c r="AN10" s="1423" t="n">
        <v>46244</v>
      </c>
      <c r="AO10" s="1423" t="n">
        <v>46317</v>
      </c>
    </row>
    <row r="11" ht="38" customHeight="1">
      <c r="A11" s="280" t="str">
        <v>U010</v>
      </c>
      <c r="B11" s="281" t="str">
        <v>آسیب‌شناسی روانی</v>
      </c>
      <c r="C11" s="281" t="str">
        <v>روان‌شناسی مرضی و آسیب‌شناسی</v>
      </c>
      <c r="D11" s="281" t="str">
        <v>2</v>
      </c>
      <c r="E11" s="281" t="str">
        <v>اختلال عصبی ـ رشدی</v>
      </c>
      <c r="F11" s="281" t="str">
        <v>واحد مطالعه بر اساس بازهٔ صفحه</v>
      </c>
      <c r="G11" s="281" t="str">
        <v>۱۲۵ تا ۱۳۰</v>
      </c>
      <c r="H11" s="681" t="n">
        <v>6</v>
      </c>
      <c r="I11" s="281" t="str">
        <v>۱۴۰۵/۰۵/۱۹</v>
      </c>
      <c r="J11" s="684" t="n">
        <v>25</v>
      </c>
      <c r="K11" s="281" t="str">
        <v>۱۴۰۵/۰۵/۱۹</v>
      </c>
      <c r="L11" s="281" t="str">
        <v>۱۴۰۵/۰۵/۲۰</v>
      </c>
      <c r="M11" s="281" t="str">
        <v>۱۴۰۵/۰۵/۲۲</v>
      </c>
      <c r="N11" s="281" t="str">
        <v>۱۴۰۵/۰۵/۲۶</v>
      </c>
      <c r="O11" s="281" t="str">
        <v>۱۴۰۵/۰۶/۰۲</v>
      </c>
      <c r="P11" s="281" t="str">
        <v>۱۴۰۵/۰۶/۱۶</v>
      </c>
      <c r="Q11" s="411"/>
      <c r="R11" s="687" t="n">
        <v>1</v>
      </c>
      <c r="S11" s="687"/>
      <c r="T11" s="412"/>
      <c r="U11" s="412"/>
      <c r="V11" s="412"/>
      <c r="W11" s="687" t="str">
        <v>0</v>
      </c>
      <c r="X11" s="412" t="str">
        <v>خیر</v>
      </c>
      <c r="Y11" s="413" t="str">
        <v>خیر</v>
      </c>
      <c r="Z11" s="430" t="str">
        <f>IF(AM11="","",IF(AM11&gt;AO11,"تثبیت نهایی",IFERROR(INDEX('برنامه خرد'!$A$2:$A$82,MATCH(AM11,'برنامه خرد'!$I$2:$I$82,0)),"تثبیت نهایی")))</f>
        <v>۱۴۰۵/۰۵/۲۰</v>
      </c>
      <c r="AA11" s="431" t="str">
        <v>۱۴۰۵/۰۵/۲۰</v>
      </c>
      <c r="AB11" s="690" t="n">
        <f>IF(AM11="","",AM11-AN11)</f>
        <v>0</v>
      </c>
      <c r="AC11" s="431" t="str">
        <f>IF(AM11="","فاقد داده",IF(AM11&gt;AO11,"انتقال به تثبیت نهایی",IF(AM11&lt;TODAY(),"عقب‌افتاده",IF(AM11=TODAY(),"سررسید امروز","آینده"))))</f>
        <v>آینده</v>
      </c>
      <c r="AD11" s="432" t="str">
        <f>IF(OR(AM11&gt;AO11,Z11="تثبیت نهایی"),"بله","خیر")</f>
        <v>خیر</v>
      </c>
      <c r="AE11" s="436" t="str">
        <v>این فرمول فقط تاریخ پیشنهادی را محاسبه می‌کند و ردیف‌های برنامهٔ روزانه را خودکار جابه‌جا نمی‌کند.</v>
      </c>
      <c r="AF11" s="1423" t="n">
        <v>46244</v>
      </c>
      <c r="AG11" s="1423" t="n">
        <v>46245</v>
      </c>
      <c r="AH11" s="1423" t="n">
        <v>46247</v>
      </c>
      <c r="AI11" s="1423" t="n">
        <v>46251</v>
      </c>
      <c r="AJ11" s="1423" t="n">
        <v>46258</v>
      </c>
      <c r="AK11" s="1423" t="n">
        <v>46272</v>
      </c>
      <c r="AL11" s="1423" t="str">
        <f>IFERROR(INDEX('برنامه خرد'!$I$2:$I$82,MATCH(Q11,'برنامه خرد'!$A$2:$A$82,0)),"")</f>
      </c>
      <c r="AM11" s="1423" t="n">
        <f>IF(AL11="",AN11,IF(T11="غلط یا کمتر از ۵۰٪",AL11+1,IF(T11="ناقص یا همراه با حدس",AL11+2,IF(T11="درست ولی کند و مردد",AL11+4,IF(T11="درست، سریع و کامل",IF(W11&gt;=2,AL11+IF(R11&lt;14,14,28),AL11+MIN(28,MAX(3,R11*2))),AN11)))))</f>
        <v>46245</v>
      </c>
      <c r="AN11" s="1423" t="n">
        <v>46245</v>
      </c>
      <c r="AO11" s="1423" t="n">
        <v>46317</v>
      </c>
    </row>
    <row r="12" ht="38" customHeight="1">
      <c r="A12" s="366" t="str">
        <v>U011</v>
      </c>
      <c r="B12" s="367" t="str">
        <v>آسیب‌شناسی روانی</v>
      </c>
      <c r="C12" s="367" t="str">
        <v>روان‌شناسی مرضی و آسیب‌شناسی</v>
      </c>
      <c r="D12" s="367" t="str">
        <v>2</v>
      </c>
      <c r="E12" s="367" t="str">
        <v>اختلال عصبی ـ رشدی</v>
      </c>
      <c r="F12" s="367" t="str">
        <v>واحد مطالعه بر اساس بازهٔ صفحه</v>
      </c>
      <c r="G12" s="367" t="str">
        <v>۱۳۱ تا ۱۳۲</v>
      </c>
      <c r="H12" s="680" t="n">
        <v>2</v>
      </c>
      <c r="I12" s="367" t="str">
        <v>۱۴۰۵/۰۵/۲۰</v>
      </c>
      <c r="J12" s="683" t="n">
        <v>8.3</v>
      </c>
      <c r="K12" s="367" t="str">
        <v>۱۴۰۵/۰۵/۲۰</v>
      </c>
      <c r="L12" s="367" t="str">
        <v>۱۴۰۵/۰۵/۲۱</v>
      </c>
      <c r="M12" s="367" t="str">
        <v>۱۴۰۵/۰۵/۲۳</v>
      </c>
      <c r="N12" s="367" t="str">
        <v>۱۴۰۵/۰۵/۲۷</v>
      </c>
      <c r="O12" s="367" t="str">
        <v>۱۴۰۵/۰۶/۰۳</v>
      </c>
      <c r="P12" s="367" t="str">
        <v>۱۴۰۵/۰۶/۱۷</v>
      </c>
      <c r="Q12" s="411"/>
      <c r="R12" s="687" t="n">
        <v>1</v>
      </c>
      <c r="S12" s="687"/>
      <c r="T12" s="412"/>
      <c r="U12" s="412"/>
      <c r="V12" s="412"/>
      <c r="W12" s="687" t="str">
        <v>0</v>
      </c>
      <c r="X12" s="412" t="str">
        <v>خیر</v>
      </c>
      <c r="Y12" s="413" t="str">
        <v>خیر</v>
      </c>
      <c r="Z12" s="430" t="str">
        <f>IF(AM12="","",IF(AM12&gt;AO12,"تثبیت نهایی",IFERROR(INDEX('برنامه خرد'!$A$2:$A$82,MATCH(AM12,'برنامه خرد'!$I$2:$I$82,0)),"تثبیت نهایی")))</f>
        <v>۱۴۰۵/۰۵/۲۱</v>
      </c>
      <c r="AA12" s="431" t="str">
        <v>۱۴۰۵/۰۵/۲۱</v>
      </c>
      <c r="AB12" s="690" t="n">
        <f>IF(AM12="","",AM12-AN12)</f>
        <v>0</v>
      </c>
      <c r="AC12" s="431" t="str">
        <f>IF(AM12="","فاقد داده",IF(AM12&gt;AO12,"انتقال به تثبیت نهایی",IF(AM12&lt;TODAY(),"عقب‌افتاده",IF(AM12=TODAY(),"سررسید امروز","آینده"))))</f>
        <v>آینده</v>
      </c>
      <c r="AD12" s="432" t="str">
        <f>IF(OR(AM12&gt;AO12,Z12="تثبیت نهایی"),"بله","خیر")</f>
        <v>خیر</v>
      </c>
      <c r="AE12" s="436" t="str">
        <v>این فرمول فقط تاریخ پیشنهادی را محاسبه می‌کند و ردیف‌های برنامهٔ روزانه را خودکار جابه‌جا نمی‌کند.</v>
      </c>
      <c r="AF12" s="1423" t="n">
        <v>46245</v>
      </c>
      <c r="AG12" s="1423" t="n">
        <v>46246</v>
      </c>
      <c r="AH12" s="1423" t="n">
        <v>46248</v>
      </c>
      <c r="AI12" s="1423" t="n">
        <v>46252</v>
      </c>
      <c r="AJ12" s="1423" t="n">
        <v>46259</v>
      </c>
      <c r="AK12" s="1423" t="n">
        <v>46273</v>
      </c>
      <c r="AL12" s="1423" t="str">
        <f>IFERROR(INDEX('برنامه خرد'!$I$2:$I$82,MATCH(Q12,'برنامه خرد'!$A$2:$A$82,0)),"")</f>
      </c>
      <c r="AM12" s="1423" t="n">
        <f>IF(AL12="",AN12,IF(T12="غلط یا کمتر از ۵۰٪",AL12+1,IF(T12="ناقص یا همراه با حدس",AL12+2,IF(T12="درست ولی کند و مردد",AL12+4,IF(T12="درست، سریع و کامل",IF(W12&gt;=2,AL12+IF(R12&lt;14,14,28),AL12+MIN(28,MAX(3,R12*2))),AN12)))))</f>
        <v>46246</v>
      </c>
      <c r="AN12" s="1423" t="n">
        <v>46246</v>
      </c>
      <c r="AO12" s="1423" t="n">
        <v>46317</v>
      </c>
    </row>
    <row r="13" ht="38" customHeight="1">
      <c r="A13" s="280" t="str">
        <v>U012</v>
      </c>
      <c r="B13" s="281" t="str">
        <v>آسیب‌شناسی روانی</v>
      </c>
      <c r="C13" s="281" t="str">
        <v>روان‌شناسی مرضی و آسیب‌شناسی</v>
      </c>
      <c r="D13" s="281" t="str">
        <v>3</v>
      </c>
      <c r="E13" s="281" t="str">
        <v>طیف اسکیزوفرنی و سایر اختلالات سایکوتیک</v>
      </c>
      <c r="F13" s="281" t="str">
        <v>واحد مطالعه بر اساس بازهٔ صفحه</v>
      </c>
      <c r="G13" s="281" t="str">
        <v>۱۳۳ تا ۱۳۶</v>
      </c>
      <c r="H13" s="681" t="n">
        <v>4</v>
      </c>
      <c r="I13" s="281" t="str">
        <v>۱۴۰۵/۰۵/۲۰</v>
      </c>
      <c r="J13" s="684" t="n">
        <v>16.7</v>
      </c>
      <c r="K13" s="281" t="str">
        <v>۱۴۰۵/۰۵/۲۰</v>
      </c>
      <c r="L13" s="281" t="str">
        <v>۱۴۰۵/۰۵/۲۱</v>
      </c>
      <c r="M13" s="281" t="str">
        <v>۱۴۰۵/۰۵/۲۳</v>
      </c>
      <c r="N13" s="281" t="str">
        <v>۱۴۰۵/۰۵/۲۷</v>
      </c>
      <c r="O13" s="281" t="str">
        <v>۱۴۰۵/۰۶/۰۳</v>
      </c>
      <c r="P13" s="281" t="str">
        <v>۱۴۰۵/۰۶/۱۷</v>
      </c>
      <c r="Q13" s="411"/>
      <c r="R13" s="687" t="n">
        <v>1</v>
      </c>
      <c r="S13" s="687"/>
      <c r="T13" s="412"/>
      <c r="U13" s="412"/>
      <c r="V13" s="412"/>
      <c r="W13" s="687" t="str">
        <v>0</v>
      </c>
      <c r="X13" s="412" t="str">
        <v>خیر</v>
      </c>
      <c r="Y13" s="413" t="str">
        <v>خیر</v>
      </c>
      <c r="Z13" s="430" t="str">
        <f>IF(AM13="","",IF(AM13&gt;AO13,"تثبیت نهایی",IFERROR(INDEX('برنامه خرد'!$A$2:$A$82,MATCH(AM13,'برنامه خرد'!$I$2:$I$82,0)),"تثبیت نهایی")))</f>
        <v>۱۴۰۵/۰۵/۲۱</v>
      </c>
      <c r="AA13" s="431" t="str">
        <v>۱۴۰۵/۰۵/۲۱</v>
      </c>
      <c r="AB13" s="690" t="n">
        <f>IF(AM13="","",AM13-AN13)</f>
        <v>0</v>
      </c>
      <c r="AC13" s="431" t="str">
        <f>IF(AM13="","فاقد داده",IF(AM13&gt;AO13,"انتقال به تثبیت نهایی",IF(AM13&lt;TODAY(),"عقب‌افتاده",IF(AM13=TODAY(),"سررسید امروز","آینده"))))</f>
        <v>آینده</v>
      </c>
      <c r="AD13" s="432" t="str">
        <f>IF(OR(AM13&gt;AO13,Z13="تثبیت نهایی"),"بله","خیر")</f>
        <v>خیر</v>
      </c>
      <c r="AE13" s="436" t="str">
        <v>این فرمول فقط تاریخ پیشنهادی را محاسبه می‌کند و ردیف‌های برنامهٔ روزانه را خودکار جابه‌جا نمی‌کند.</v>
      </c>
      <c r="AF13" s="1423" t="n">
        <v>46245</v>
      </c>
      <c r="AG13" s="1423" t="n">
        <v>46246</v>
      </c>
      <c r="AH13" s="1423" t="n">
        <v>46248</v>
      </c>
      <c r="AI13" s="1423" t="n">
        <v>46252</v>
      </c>
      <c r="AJ13" s="1423" t="n">
        <v>46259</v>
      </c>
      <c r="AK13" s="1423" t="n">
        <v>46273</v>
      </c>
      <c r="AL13" s="1423" t="str">
        <f>IFERROR(INDEX('برنامه خرد'!$I$2:$I$82,MATCH(Q13,'برنامه خرد'!$A$2:$A$82,0)),"")</f>
      </c>
      <c r="AM13" s="1423" t="n">
        <f>IF(AL13="",AN13,IF(T13="غلط یا کمتر از ۵۰٪",AL13+1,IF(T13="ناقص یا همراه با حدس",AL13+2,IF(T13="درست ولی کند و مردد",AL13+4,IF(T13="درست، سریع و کامل",IF(W13&gt;=2,AL13+IF(R13&lt;14,14,28),AL13+MIN(28,MAX(3,R13*2))),AN13)))))</f>
        <v>46246</v>
      </c>
      <c r="AN13" s="1423" t="n">
        <v>46246</v>
      </c>
      <c r="AO13" s="1423" t="n">
        <v>46317</v>
      </c>
    </row>
    <row r="14" ht="38" customHeight="1">
      <c r="A14" s="366" t="str">
        <v>U013</v>
      </c>
      <c r="B14" s="367" t="str">
        <v>آسیب‌شناسی روانی</v>
      </c>
      <c r="C14" s="367" t="str">
        <v>روان‌شناسی مرضی و آسیب‌شناسی</v>
      </c>
      <c r="D14" s="367" t="str">
        <v>3</v>
      </c>
      <c r="E14" s="367" t="str">
        <v>طیف اسکیزوفرنی و سایر اختلالات سایکوتیک</v>
      </c>
      <c r="F14" s="367" t="str">
        <v>واحد مطالعه بر اساس بازهٔ صفحه</v>
      </c>
      <c r="G14" s="367" t="str">
        <v>۱۳۷ تا ۱۴۲</v>
      </c>
      <c r="H14" s="680" t="n">
        <v>6</v>
      </c>
      <c r="I14" s="367" t="str">
        <v>۱۴۰۵/۰۵/۲۱</v>
      </c>
      <c r="J14" s="683" t="n">
        <v>25</v>
      </c>
      <c r="K14" s="367" t="str">
        <v>۱۴۰۵/۰۵/۲۱</v>
      </c>
      <c r="L14" s="367" t="str">
        <v>۱۴۰۵/۰۵/۲۲</v>
      </c>
      <c r="M14" s="367" t="str">
        <v>۱۴۰۵/۰۵/۲۴</v>
      </c>
      <c r="N14" s="367" t="str">
        <v>۱۴۰۵/۰۵/۲۸</v>
      </c>
      <c r="O14" s="367" t="str">
        <v>۱۴۰۵/۰۶/۰۴</v>
      </c>
      <c r="P14" s="367" t="str">
        <v>۱۴۰۵/۰۶/۱۸</v>
      </c>
      <c r="Q14" s="411"/>
      <c r="R14" s="687" t="n">
        <v>1</v>
      </c>
      <c r="S14" s="687"/>
      <c r="T14" s="412"/>
      <c r="U14" s="412"/>
      <c r="V14" s="412"/>
      <c r="W14" s="687" t="str">
        <v>0</v>
      </c>
      <c r="X14" s="412" t="str">
        <v>خیر</v>
      </c>
      <c r="Y14" s="413" t="str">
        <v>خیر</v>
      </c>
      <c r="Z14" s="430" t="str">
        <f>IF(AM14="","",IF(AM14&gt;AO14,"تثبیت نهایی",IFERROR(INDEX('برنامه خرد'!$A$2:$A$82,MATCH(AM14,'برنامه خرد'!$I$2:$I$82,0)),"تثبیت نهایی")))</f>
        <v>۱۴۰۵/۰۵/۲۲</v>
      </c>
      <c r="AA14" s="431" t="str">
        <v>۱۴۰۵/۰۵/۲۲</v>
      </c>
      <c r="AB14" s="690" t="n">
        <f>IF(AM14="","",AM14-AN14)</f>
        <v>0</v>
      </c>
      <c r="AC14" s="431" t="str">
        <f>IF(AM14="","فاقد داده",IF(AM14&gt;AO14,"انتقال به تثبیت نهایی",IF(AM14&lt;TODAY(),"عقب‌افتاده",IF(AM14=TODAY(),"سررسید امروز","آینده"))))</f>
        <v>آینده</v>
      </c>
      <c r="AD14" s="432" t="str">
        <f>IF(OR(AM14&gt;AO14,Z14="تثبیت نهایی"),"بله","خیر")</f>
        <v>خیر</v>
      </c>
      <c r="AE14" s="436" t="str">
        <v>این فرمول فقط تاریخ پیشنهادی را محاسبه می‌کند و ردیف‌های برنامهٔ روزانه را خودکار جابه‌جا نمی‌کند.</v>
      </c>
      <c r="AF14" s="1423" t="n">
        <v>46246</v>
      </c>
      <c r="AG14" s="1423" t="n">
        <v>46247</v>
      </c>
      <c r="AH14" s="1423" t="n">
        <v>46249</v>
      </c>
      <c r="AI14" s="1423" t="n">
        <v>46253</v>
      </c>
      <c r="AJ14" s="1423" t="n">
        <v>46260</v>
      </c>
      <c r="AK14" s="1423" t="n">
        <v>46274</v>
      </c>
      <c r="AL14" s="1423" t="str">
        <f>IFERROR(INDEX('برنامه خرد'!$I$2:$I$82,MATCH(Q14,'برنامه خرد'!$A$2:$A$82,0)),"")</f>
      </c>
      <c r="AM14" s="1423" t="n">
        <f>IF(AL14="",AN14,IF(T14="غلط یا کمتر از ۵۰٪",AL14+1,IF(T14="ناقص یا همراه با حدس",AL14+2,IF(T14="درست ولی کند و مردد",AL14+4,IF(T14="درست، سریع و کامل",IF(W14&gt;=2,AL14+IF(R14&lt;14,14,28),AL14+MIN(28,MAX(3,R14*2))),AN14)))))</f>
        <v>46247</v>
      </c>
      <c r="AN14" s="1423" t="n">
        <v>46247</v>
      </c>
      <c r="AO14" s="1423" t="n">
        <v>46317</v>
      </c>
    </row>
    <row r="15" ht="38" customHeight="1">
      <c r="A15" s="280" t="str">
        <v>U014</v>
      </c>
      <c r="B15" s="281" t="str">
        <v>آسیب‌شناسی روانی</v>
      </c>
      <c r="C15" s="281" t="str">
        <v>روان‌شناسی مرضی و آسیب‌شناسی</v>
      </c>
      <c r="D15" s="281" t="str">
        <v>3</v>
      </c>
      <c r="E15" s="281" t="str">
        <v>طیف اسکیزوفرنی و سایر اختلالات سایکوتیک</v>
      </c>
      <c r="F15" s="281" t="str">
        <v>واحد مطالعه بر اساس بازهٔ صفحه</v>
      </c>
      <c r="G15" s="281" t="str">
        <v>۱۴۳ تا ۱۶۳</v>
      </c>
      <c r="H15" s="681" t="n">
        <v>21</v>
      </c>
      <c r="I15" s="281" t="str">
        <v>۱۴۰۵/۰۵/۲۲</v>
      </c>
      <c r="J15" s="684" t="n">
        <v>87</v>
      </c>
      <c r="K15" s="281" t="str">
        <v>۱۴۰۵/۰۵/۲۲</v>
      </c>
      <c r="L15" s="281" t="str">
        <v>۱۴۰۵/۰۵/۲۳</v>
      </c>
      <c r="M15" s="281" t="str">
        <v>۱۴۰۵/۰۵/۲۵</v>
      </c>
      <c r="N15" s="281" t="str">
        <v>۱۴۰۵/۰۵/۲۹</v>
      </c>
      <c r="O15" s="281" t="str">
        <v>۱۴۰۵/۰۶/۰۵</v>
      </c>
      <c r="P15" s="281" t="str">
        <v>۱۴۰۵/۰۶/۱۹</v>
      </c>
      <c r="Q15" s="411"/>
      <c r="R15" s="687" t="n">
        <v>1</v>
      </c>
      <c r="S15" s="687"/>
      <c r="T15" s="412"/>
      <c r="U15" s="412"/>
      <c r="V15" s="412"/>
      <c r="W15" s="687" t="str">
        <v>0</v>
      </c>
      <c r="X15" s="412" t="str">
        <v>خیر</v>
      </c>
      <c r="Y15" s="413" t="str">
        <v>خیر</v>
      </c>
      <c r="Z15" s="430" t="str">
        <f>IF(AM15="","",IF(AM15&gt;AO15,"تثبیت نهایی",IFERROR(INDEX('برنامه خرد'!$A$2:$A$82,MATCH(AM15,'برنامه خرد'!$I$2:$I$82,0)),"تثبیت نهایی")))</f>
        <v>۱۴۰۵/۰۵/۲۴</v>
      </c>
      <c r="AA15" s="431" t="str">
        <v>۱۴۰۵/۰۵/۲۴</v>
      </c>
      <c r="AB15" s="690" t="n">
        <f>IF(AM15="","",AM15-AN15)</f>
        <v>0</v>
      </c>
      <c r="AC15" s="431" t="str">
        <f>IF(AM15="","فاقد داده",IF(AM15&gt;AO15,"انتقال به تثبیت نهایی",IF(AM15&lt;TODAY(),"عقب‌افتاده",IF(AM15=TODAY(),"سررسید امروز","آینده"))))</f>
        <v>آینده</v>
      </c>
      <c r="AD15" s="432" t="str">
        <f>IF(OR(AM15&gt;AO15,Z15="تثبیت نهایی"),"بله","خیر")</f>
        <v>خیر</v>
      </c>
      <c r="AE15" s="436" t="str">
        <v>این فرمول فقط تاریخ پیشنهادی را محاسبه می‌کند و ردیف‌های برنامهٔ روزانه را خودکار جابه‌جا نمی‌کند.</v>
      </c>
      <c r="AF15" s="1423" t="n">
        <v>46247</v>
      </c>
      <c r="AG15" s="1423" t="n">
        <v>46248</v>
      </c>
      <c r="AH15" s="1423" t="n">
        <v>46250</v>
      </c>
      <c r="AI15" s="1423" t="n">
        <v>46254</v>
      </c>
      <c r="AJ15" s="1423" t="n">
        <v>46261</v>
      </c>
      <c r="AK15" s="1423" t="n">
        <v>46275</v>
      </c>
      <c r="AL15" s="1423" t="str">
        <f>IFERROR(INDEX('برنامه خرد'!$I$2:$I$82,MATCH(Q15,'برنامه خرد'!$A$2:$A$82,0)),"")</f>
      </c>
      <c r="AM15" s="1423" t="n">
        <f>IF(AL15="",AN15,IF(T15="غلط یا کمتر از ۵۰٪",AL15+1,IF(T15="ناقص یا همراه با حدس",AL15+2,IF(T15="درست ولی کند و مردد",AL15+4,IF(T15="درست، سریع و کامل",IF(W15&gt;=2,AL15+IF(R15&lt;14,14,28),AL15+MIN(28,MAX(3,R15*2))),AN15)))))</f>
        <v>46249</v>
      </c>
      <c r="AN15" s="1423" t="n">
        <v>46249</v>
      </c>
      <c r="AO15" s="1423" t="n">
        <v>46317</v>
      </c>
    </row>
    <row r="16" ht="38" customHeight="1">
      <c r="A16" s="366" t="str">
        <v>U015</v>
      </c>
      <c r="B16" s="367" t="str">
        <v>آسیب‌شناسی روانی</v>
      </c>
      <c r="C16" s="367" t="str">
        <v>روان‌شناسی مرضی و آسیب‌شناسی</v>
      </c>
      <c r="D16" s="367" t="str">
        <v>3</v>
      </c>
      <c r="E16" s="367" t="str">
        <v>طیف اسکیزوفرنی و سایر اختلالات سایکوتیک</v>
      </c>
      <c r="F16" s="367" t="str">
        <v>واحد مطالعه بر اساس بازهٔ صفحه</v>
      </c>
      <c r="G16" s="367" t="str">
        <v>۱۶۴ تا ۱۸۴</v>
      </c>
      <c r="H16" s="680" t="n">
        <v>21</v>
      </c>
      <c r="I16" s="367" t="str">
        <v>۱۴۰۵/۰۵/۲۴</v>
      </c>
      <c r="J16" s="683" t="n">
        <v>87</v>
      </c>
      <c r="K16" s="367" t="str">
        <v>۱۴۰۵/۰۵/۲۴</v>
      </c>
      <c r="L16" s="367" t="str">
        <v>۱۴۰۵/۰۵/۲۵</v>
      </c>
      <c r="M16" s="367" t="str">
        <v>۱۴۰۵/۰۵/۲۷</v>
      </c>
      <c r="N16" s="367" t="str">
        <v>۱۴۰۵/۰۵/۳۱</v>
      </c>
      <c r="O16" s="367" t="str">
        <v>۱۴۰۵/۰۶/۰۷</v>
      </c>
      <c r="P16" s="367" t="str">
        <v>۱۴۰۵/۰۶/۲۱</v>
      </c>
      <c r="Q16" s="411"/>
      <c r="R16" s="687" t="n">
        <v>1</v>
      </c>
      <c r="S16" s="687"/>
      <c r="T16" s="412"/>
      <c r="U16" s="412"/>
      <c r="V16" s="412"/>
      <c r="W16" s="687" t="str">
        <v>0</v>
      </c>
      <c r="X16" s="412" t="str">
        <v>خیر</v>
      </c>
      <c r="Y16" s="413" t="str">
        <v>خیر</v>
      </c>
      <c r="Z16" s="430" t="str">
        <f>IF(AM16="","",IF(AM16&gt;AO16,"تثبیت نهایی",IFERROR(INDEX('برنامه خرد'!$A$2:$A$82,MATCH(AM16,'برنامه خرد'!$I$2:$I$82,0)),"تثبیت نهایی")))</f>
        <v>۱۴۰۵/۰۵/۲۶</v>
      </c>
      <c r="AA16" s="431" t="str">
        <v>۱۴۰۵/۰۵/۲۶</v>
      </c>
      <c r="AB16" s="690" t="n">
        <f>IF(AM16="","",AM16-AN16)</f>
        <v>0</v>
      </c>
      <c r="AC16" s="431" t="str">
        <f>IF(AM16="","فاقد داده",IF(AM16&gt;AO16,"انتقال به تثبیت نهایی",IF(AM16&lt;TODAY(),"عقب‌افتاده",IF(AM16=TODAY(),"سررسید امروز","آینده"))))</f>
        <v>آینده</v>
      </c>
      <c r="AD16" s="432" t="str">
        <f>IF(OR(AM16&gt;AO16,Z16="تثبیت نهایی"),"بله","خیر")</f>
        <v>خیر</v>
      </c>
      <c r="AE16" s="436" t="str">
        <v>این فرمول فقط تاریخ پیشنهادی را محاسبه می‌کند و ردیف‌های برنامهٔ روزانه را خودکار جابه‌جا نمی‌کند.</v>
      </c>
      <c r="AF16" s="1423" t="n">
        <v>46249</v>
      </c>
      <c r="AG16" s="1423" t="n">
        <v>46250</v>
      </c>
      <c r="AH16" s="1423" t="n">
        <v>46252</v>
      </c>
      <c r="AI16" s="1423" t="n">
        <v>46256</v>
      </c>
      <c r="AJ16" s="1423" t="n">
        <v>46263</v>
      </c>
      <c r="AK16" s="1423" t="n">
        <v>46277</v>
      </c>
      <c r="AL16" s="1423" t="str">
        <f>IFERROR(INDEX('برنامه خرد'!$I$2:$I$82,MATCH(Q16,'برنامه خرد'!$A$2:$A$82,0)),"")</f>
      </c>
      <c r="AM16" s="1423" t="n">
        <f>IF(AL16="",AN16,IF(T16="غلط یا کمتر از ۵۰٪",AL16+1,IF(T16="ناقص یا همراه با حدس",AL16+2,IF(T16="درست ولی کند و مردد",AL16+4,IF(T16="درست، سریع و کامل",IF(W16&gt;=2,AL16+IF(R16&lt;14,14,28),AL16+MIN(28,MAX(3,R16*2))),AN16)))))</f>
        <v>46251</v>
      </c>
      <c r="AN16" s="1423" t="n">
        <v>46251</v>
      </c>
      <c r="AO16" s="1423" t="n">
        <v>46317</v>
      </c>
    </row>
    <row r="17" ht="38" customHeight="1">
      <c r="A17" s="280" t="str">
        <v>U016</v>
      </c>
      <c r="B17" s="281" t="str">
        <v>آسیب‌شناسی روانی</v>
      </c>
      <c r="C17" s="281" t="str">
        <v>روان‌شناسی مرضی و آسیب‌شناسی</v>
      </c>
      <c r="D17" s="281" t="str">
        <v>3</v>
      </c>
      <c r="E17" s="281" t="str">
        <v>طیف اسکیزوفرنی و سایر اختلالات سایکوتیک</v>
      </c>
      <c r="F17" s="281" t="str">
        <v>واحد مطالعه بر اساس بازهٔ صفحه</v>
      </c>
      <c r="G17" s="281" t="str">
        <v>۱۸۵ تا ۲۰۵</v>
      </c>
      <c r="H17" s="681" t="n">
        <v>21</v>
      </c>
      <c r="I17" s="281" t="str">
        <v>۱۴۰۵/۰۵/۲۶</v>
      </c>
      <c r="J17" s="684" t="n">
        <v>87</v>
      </c>
      <c r="K17" s="281" t="str">
        <v>۱۴۰۵/۰۵/۲۶</v>
      </c>
      <c r="L17" s="281" t="str">
        <v>۱۴۰۵/۰۵/۲۷</v>
      </c>
      <c r="M17" s="281" t="str">
        <v>۱۴۰۵/۰۵/۲۹</v>
      </c>
      <c r="N17" s="281" t="str">
        <v>۱۴۰۵/۰۶/۰۲</v>
      </c>
      <c r="O17" s="281" t="str">
        <v>۱۴۰۵/۰۶/۰۹</v>
      </c>
      <c r="P17" s="281" t="str">
        <v>۱۴۰۵/۰۶/۲۳</v>
      </c>
      <c r="Q17" s="411"/>
      <c r="R17" s="687" t="n">
        <v>1</v>
      </c>
      <c r="S17" s="687"/>
      <c r="T17" s="412"/>
      <c r="U17" s="412"/>
      <c r="V17" s="412"/>
      <c r="W17" s="687" t="str">
        <v>0</v>
      </c>
      <c r="X17" s="412" t="str">
        <v>خیر</v>
      </c>
      <c r="Y17" s="413" t="str">
        <v>خیر</v>
      </c>
      <c r="Z17" s="430" t="str">
        <f>IF(AM17="","",IF(AM17&gt;AO17,"تثبیت نهایی",IFERROR(INDEX('برنامه خرد'!$A$2:$A$82,MATCH(AM17,'برنامه خرد'!$I$2:$I$82,0)),"تثبیت نهایی")))</f>
        <v>۱۴۰۵/۰۵/۲۸</v>
      </c>
      <c r="AA17" s="431" t="str">
        <v>۱۴۰۵/۰۵/۲۸</v>
      </c>
      <c r="AB17" s="690" t="n">
        <f>IF(AM17="","",AM17-AN17)</f>
        <v>0</v>
      </c>
      <c r="AC17" s="431" t="str">
        <f>IF(AM17="","فاقد داده",IF(AM17&gt;AO17,"انتقال به تثبیت نهایی",IF(AM17&lt;TODAY(),"عقب‌افتاده",IF(AM17=TODAY(),"سررسید امروز","آینده"))))</f>
        <v>آینده</v>
      </c>
      <c r="AD17" s="432" t="str">
        <f>IF(OR(AM17&gt;AO17,Z17="تثبیت نهایی"),"بله","خیر")</f>
        <v>خیر</v>
      </c>
      <c r="AE17" s="436" t="str">
        <v>این فرمول فقط تاریخ پیشنهادی را محاسبه می‌کند و ردیف‌های برنامهٔ روزانه را خودکار جابه‌جا نمی‌کند.</v>
      </c>
      <c r="AF17" s="1423" t="n">
        <v>46251</v>
      </c>
      <c r="AG17" s="1423" t="n">
        <v>46252</v>
      </c>
      <c r="AH17" s="1423" t="n">
        <v>46254</v>
      </c>
      <c r="AI17" s="1423" t="n">
        <v>46258</v>
      </c>
      <c r="AJ17" s="1423" t="n">
        <v>46265</v>
      </c>
      <c r="AK17" s="1423" t="n">
        <v>46279</v>
      </c>
      <c r="AL17" s="1423" t="str">
        <f>IFERROR(INDEX('برنامه خرد'!$I$2:$I$82,MATCH(Q17,'برنامه خرد'!$A$2:$A$82,0)),"")</f>
      </c>
      <c r="AM17" s="1423" t="n">
        <f>IF(AL17="",AN17,IF(T17="غلط یا کمتر از ۵۰٪",AL17+1,IF(T17="ناقص یا همراه با حدس",AL17+2,IF(T17="درست ولی کند و مردد",AL17+4,IF(T17="درست، سریع و کامل",IF(W17&gt;=2,AL17+IF(R17&lt;14,14,28),AL17+MIN(28,MAX(3,R17*2))),AN17)))))</f>
        <v>46253</v>
      </c>
      <c r="AN17" s="1423" t="n">
        <v>46253</v>
      </c>
      <c r="AO17" s="1423" t="n">
        <v>46317</v>
      </c>
    </row>
    <row r="18" ht="38" customHeight="1">
      <c r="A18" s="366" t="str">
        <v>U017</v>
      </c>
      <c r="B18" s="367" t="str">
        <v>آسیب‌شناسی روانی</v>
      </c>
      <c r="C18" s="367" t="str">
        <v>روان‌شناسی مرضی و آسیب‌شناسی</v>
      </c>
      <c r="D18" s="367" t="str">
        <v>3</v>
      </c>
      <c r="E18" s="367" t="str">
        <v>طیف اسکیزوفرنی و سایر اختلالات سایکوتیک</v>
      </c>
      <c r="F18" s="367" t="str">
        <v>واحد مطالعه بر اساس بازهٔ صفحه</v>
      </c>
      <c r="G18" s="367" t="str">
        <v>۲۰۶ تا ۲۲۶</v>
      </c>
      <c r="H18" s="680" t="n">
        <v>21</v>
      </c>
      <c r="I18" s="367" t="str">
        <v>۱۴۰۵/۰۵/۲۸</v>
      </c>
      <c r="J18" s="683" t="n">
        <v>87</v>
      </c>
      <c r="K18" s="367" t="str">
        <v>۱۴۰۵/۰۵/۲۸</v>
      </c>
      <c r="L18" s="367" t="str">
        <v>۱۴۰۵/۰۵/۲۹</v>
      </c>
      <c r="M18" s="367" t="str">
        <v>۱۴۰۵/۰۵/۳۱</v>
      </c>
      <c r="N18" s="367" t="str">
        <v>۱۴۰۵/۰۶/۰۴</v>
      </c>
      <c r="O18" s="367" t="str">
        <v>۱۴۰۵/۰۶/۱۱</v>
      </c>
      <c r="P18" s="367" t="str">
        <v>۱۴۰۵/۰۶/۲۵</v>
      </c>
      <c r="Q18" s="411"/>
      <c r="R18" s="687" t="n">
        <v>1</v>
      </c>
      <c r="S18" s="687"/>
      <c r="T18" s="412"/>
      <c r="U18" s="412"/>
      <c r="V18" s="412"/>
      <c r="W18" s="687" t="str">
        <v>0</v>
      </c>
      <c r="X18" s="412" t="str">
        <v>خیر</v>
      </c>
      <c r="Y18" s="413" t="str">
        <v>خیر</v>
      </c>
      <c r="Z18" s="430" t="str">
        <f>IF(AM18="","",IF(AM18&gt;AO18,"تثبیت نهایی",IFERROR(INDEX('برنامه خرد'!$A$2:$A$82,MATCH(AM18,'برنامه خرد'!$I$2:$I$82,0)),"تثبیت نهایی")))</f>
        <v>۱۴۰۵/۰۵/۲۸</v>
      </c>
      <c r="AA18" s="431" t="str">
        <v>۱۴۰۵/۰۵/۲۸</v>
      </c>
      <c r="AB18" s="690" t="n">
        <f>IF(AM18="","",AM18-AN18)</f>
        <v>0</v>
      </c>
      <c r="AC18" s="431" t="str">
        <f>IF(AM18="","فاقد داده",IF(AM18&gt;AO18,"انتقال به تثبیت نهایی",IF(AM18&lt;TODAY(),"عقب‌افتاده",IF(AM18=TODAY(),"سررسید امروز","آینده"))))</f>
        <v>آینده</v>
      </c>
      <c r="AD18" s="432" t="str">
        <f>IF(OR(AM18&gt;AO18,Z18="تثبیت نهایی"),"بله","خیر")</f>
        <v>خیر</v>
      </c>
      <c r="AE18" s="436" t="str">
        <v>این فرمول فقط تاریخ پیشنهادی را محاسبه می‌کند و ردیف‌های برنامهٔ روزانه را خودکار جابه‌جا نمی‌کند.</v>
      </c>
      <c r="AF18" s="1423" t="n">
        <v>46253</v>
      </c>
      <c r="AG18" s="1423" t="n">
        <v>46254</v>
      </c>
      <c r="AH18" s="1423" t="n">
        <v>46256</v>
      </c>
      <c r="AI18" s="1423" t="n">
        <v>46260</v>
      </c>
      <c r="AJ18" s="1423" t="n">
        <v>46267</v>
      </c>
      <c r="AK18" s="1423" t="n">
        <v>46281</v>
      </c>
      <c r="AL18" s="1423" t="str">
        <f>IFERROR(INDEX('برنامه خرد'!$I$2:$I$82,MATCH(Q18,'برنامه خرد'!$A$2:$A$82,0)),"")</f>
      </c>
      <c r="AM18" s="1423" t="n">
        <f>IF(AL18="",AN18,IF(T18="غلط یا کمتر از ۵۰٪",AL18+1,IF(T18="ناقص یا همراه با حدس",AL18+2,IF(T18="درست ولی کند و مردد",AL18+4,IF(T18="درست، سریع و کامل",IF(W18&gt;=2,AL18+IF(R18&lt;14,14,28),AL18+MIN(28,MAX(3,R18*2))),AN18)))))</f>
        <v>46253</v>
      </c>
      <c r="AN18" s="1423" t="n">
        <v>46253</v>
      </c>
      <c r="AO18" s="1423" t="n">
        <v>46317</v>
      </c>
    </row>
    <row r="19" ht="38" customHeight="1">
      <c r="A19" s="280" t="str">
        <v>U018</v>
      </c>
      <c r="B19" s="281" t="str">
        <v>آسیب‌شناسی روانی</v>
      </c>
      <c r="C19" s="281" t="str">
        <v>روان‌شناسی مرضی و آسیب‌شناسی</v>
      </c>
      <c r="D19" s="281" t="str">
        <v>3</v>
      </c>
      <c r="E19" s="281" t="str">
        <v>طیف اسکیزوفرنی و سایر اختلالات سایکوتیک</v>
      </c>
      <c r="F19" s="281" t="str">
        <v>واحد مطالعه بر اساس بازهٔ صفحه</v>
      </c>
      <c r="G19" s="281" t="str">
        <v>۲۲۷ تا ۲۴۶</v>
      </c>
      <c r="H19" s="681" t="n">
        <v>20</v>
      </c>
      <c r="I19" s="281" t="str">
        <v>۱۴۰۵/۰۵/۳۱</v>
      </c>
      <c r="J19" s="684" t="n">
        <v>87</v>
      </c>
      <c r="K19" s="281" t="str">
        <v>۱۴۰۵/۰۵/۳۱</v>
      </c>
      <c r="L19" s="281" t="str">
        <v>۱۴۰۵/۰۶/۰۱</v>
      </c>
      <c r="M19" s="281" t="str">
        <v>۱۴۰۵/۰۶/۰۳</v>
      </c>
      <c r="N19" s="281" t="str">
        <v>۱۴۰۵/۰۶/۰۷</v>
      </c>
      <c r="O19" s="281" t="str">
        <v>۱۴۰۵/۰۶/۱۴</v>
      </c>
      <c r="P19" s="281" t="str">
        <v>۱۴۰۵/۰۶/۲۸</v>
      </c>
      <c r="Q19" s="411"/>
      <c r="R19" s="687" t="n">
        <v>1</v>
      </c>
      <c r="S19" s="687"/>
      <c r="T19" s="412"/>
      <c r="U19" s="412"/>
      <c r="V19" s="412"/>
      <c r="W19" s="687" t="str">
        <v>0</v>
      </c>
      <c r="X19" s="412" t="str">
        <v>خیر</v>
      </c>
      <c r="Y19" s="413" t="str">
        <v>خیر</v>
      </c>
      <c r="Z19" s="430" t="str">
        <f>IF(AM19="","",IF(AM19&gt;AO19,"تثبیت نهایی",IFERROR(INDEX('برنامه خرد'!$A$2:$A$82,MATCH(AM19,'برنامه خرد'!$I$2:$I$82,0)),"تثبیت نهایی")))</f>
        <v>۱۴۰۵/۰۶/۰۲</v>
      </c>
      <c r="AA19" s="431" t="str">
        <v>۱۴۰۵/۰۶/۰۲</v>
      </c>
      <c r="AB19" s="690" t="n">
        <f>IF(AM19="","",AM19-AN19)</f>
        <v>0</v>
      </c>
      <c r="AC19" s="431" t="str">
        <f>IF(AM19="","فاقد داده",IF(AM19&gt;AO19,"انتقال به تثبیت نهایی",IF(AM19&lt;TODAY(),"عقب‌افتاده",IF(AM19=TODAY(),"سررسید امروز","آینده"))))</f>
        <v>آینده</v>
      </c>
      <c r="AD19" s="432" t="str">
        <f>IF(OR(AM19&gt;AO19,Z19="تثبیت نهایی"),"بله","خیر")</f>
        <v>خیر</v>
      </c>
      <c r="AE19" s="436" t="str">
        <v>این فرمول فقط تاریخ پیشنهادی را محاسبه می‌کند و ردیف‌های برنامهٔ روزانه را خودکار جابه‌جا نمی‌کند.</v>
      </c>
      <c r="AF19" s="1423" t="n">
        <v>46256</v>
      </c>
      <c r="AG19" s="1423" t="n">
        <v>46257</v>
      </c>
      <c r="AH19" s="1423" t="n">
        <v>46259</v>
      </c>
      <c r="AI19" s="1423" t="n">
        <v>46263</v>
      </c>
      <c r="AJ19" s="1423" t="n">
        <v>46270</v>
      </c>
      <c r="AK19" s="1423" t="n">
        <v>46284</v>
      </c>
      <c r="AL19" s="1423" t="str">
        <f>IFERROR(INDEX('برنامه خرد'!$I$2:$I$82,MATCH(Q19,'برنامه خرد'!$A$2:$A$82,0)),"")</f>
      </c>
      <c r="AM19" s="1423" t="n">
        <f>IF(AL19="",AN19,IF(T19="غلط یا کمتر از ۵۰٪",AL19+1,IF(T19="ناقص یا همراه با حدس",AL19+2,IF(T19="درست ولی کند و مردد",AL19+4,IF(T19="درست، سریع و کامل",IF(W19&gt;=2,AL19+IF(R19&lt;14,14,28),AL19+MIN(28,MAX(3,R19*2))),AN19)))))</f>
        <v>46258</v>
      </c>
      <c r="AN19" s="1423" t="n">
        <v>46258</v>
      </c>
      <c r="AO19" s="1423" t="n">
        <v>46317</v>
      </c>
    </row>
    <row r="20" ht="38" customHeight="1">
      <c r="A20" s="366" t="str">
        <v>U019</v>
      </c>
      <c r="B20" s="367" t="str">
        <v>آسیب‌شناسی روانی</v>
      </c>
      <c r="C20" s="367" t="str">
        <v>روان‌شناسی مرضی و آسیب‌شناسی</v>
      </c>
      <c r="D20" s="367" t="str">
        <v>4</v>
      </c>
      <c r="E20" s="367" t="str">
        <v>دوقطبی و اختلالات مرتبط</v>
      </c>
      <c r="F20" s="367" t="str">
        <v>واحد مطالعه بر اساس بازهٔ صفحه</v>
      </c>
      <c r="G20" s="367" t="str">
        <v>۲۴۷ تا ۲۵۲</v>
      </c>
      <c r="H20" s="680" t="n">
        <v>6</v>
      </c>
      <c r="I20" s="367" t="str">
        <v>۱۴۰۵/۰۶/۰۲</v>
      </c>
      <c r="J20" s="683" t="n">
        <v>25</v>
      </c>
      <c r="K20" s="367" t="str">
        <v>۱۴۰۵/۰۶/۰۲</v>
      </c>
      <c r="L20" s="367" t="str">
        <v>۱۴۰۵/۰۶/۰۳</v>
      </c>
      <c r="M20" s="367" t="str">
        <v>۱۴۰۵/۰۶/۰۵</v>
      </c>
      <c r="N20" s="367" t="str">
        <v>۱۴۰۵/۰۶/۰۹</v>
      </c>
      <c r="O20" s="367" t="str">
        <v>۱۴۰۵/۰۶/۱۶</v>
      </c>
      <c r="P20" s="367" t="str">
        <v>۱۴۰۵/۰۶/۳۰</v>
      </c>
      <c r="Q20" s="411"/>
      <c r="R20" s="687" t="n">
        <v>1</v>
      </c>
      <c r="S20" s="687"/>
      <c r="T20" s="412"/>
      <c r="U20" s="412"/>
      <c r="V20" s="412"/>
      <c r="W20" s="687" t="str">
        <v>0</v>
      </c>
      <c r="X20" s="412" t="str">
        <v>خیر</v>
      </c>
      <c r="Y20" s="413" t="str">
        <v>خیر</v>
      </c>
      <c r="Z20" s="430" t="str">
        <f>IF(AM20="","",IF(AM20&gt;AO20,"تثبیت نهایی",IFERROR(INDEX('برنامه خرد'!$A$2:$A$82,MATCH(AM20,'برنامه خرد'!$I$2:$I$82,0)),"تثبیت نهایی")))</f>
        <v>۱۴۰۵/۰۶/۰۳</v>
      </c>
      <c r="AA20" s="431" t="str">
        <v>۱۴۰۵/۰۶/۰۳</v>
      </c>
      <c r="AB20" s="690" t="n">
        <f>IF(AM20="","",AM20-AN20)</f>
        <v>0</v>
      </c>
      <c r="AC20" s="431" t="str">
        <f>IF(AM20="","فاقد داده",IF(AM20&gt;AO20,"انتقال به تثبیت نهایی",IF(AM20&lt;TODAY(),"عقب‌افتاده",IF(AM20=TODAY(),"سررسید امروز","آینده"))))</f>
        <v>آینده</v>
      </c>
      <c r="AD20" s="432" t="str">
        <f>IF(OR(AM20&gt;AO20,Z20="تثبیت نهایی"),"بله","خیر")</f>
        <v>خیر</v>
      </c>
      <c r="AE20" s="436" t="str">
        <v>این فرمول فقط تاریخ پیشنهادی را محاسبه می‌کند و ردیف‌های برنامهٔ روزانه را خودکار جابه‌جا نمی‌کند.</v>
      </c>
      <c r="AF20" s="1423" t="n">
        <v>46258</v>
      </c>
      <c r="AG20" s="1423" t="n">
        <v>46259</v>
      </c>
      <c r="AH20" s="1423" t="n">
        <v>46261</v>
      </c>
      <c r="AI20" s="1423" t="n">
        <v>46265</v>
      </c>
      <c r="AJ20" s="1423" t="n">
        <v>46272</v>
      </c>
      <c r="AK20" s="1423" t="n">
        <v>46286</v>
      </c>
      <c r="AL20" s="1423" t="str">
        <f>IFERROR(INDEX('برنامه خرد'!$I$2:$I$82,MATCH(Q20,'برنامه خرد'!$A$2:$A$82,0)),"")</f>
      </c>
      <c r="AM20" s="1423" t="n">
        <f>IF(AL20="",AN20,IF(T20="غلط یا کمتر از ۵۰٪",AL20+1,IF(T20="ناقص یا همراه با حدس",AL20+2,IF(T20="درست ولی کند و مردد",AL20+4,IF(T20="درست، سریع و کامل",IF(W20&gt;=2,AL20+IF(R20&lt;14,14,28),AL20+MIN(28,MAX(3,R20*2))),AN20)))))</f>
        <v>46259</v>
      </c>
      <c r="AN20" s="1423" t="n">
        <v>46259</v>
      </c>
      <c r="AO20" s="1423" t="n">
        <v>46317</v>
      </c>
    </row>
    <row r="21" ht="38" customHeight="1">
      <c r="A21" s="280" t="str">
        <v>U020</v>
      </c>
      <c r="B21" s="281" t="str">
        <v>آسیب‌شناسی روانی</v>
      </c>
      <c r="C21" s="281" t="str">
        <v>روان‌شناسی مرضی و آسیب‌شناسی</v>
      </c>
      <c r="D21" s="281" t="str">
        <v>4</v>
      </c>
      <c r="E21" s="281" t="str">
        <v>دوقطبی و اختلالات مرتبط</v>
      </c>
      <c r="F21" s="281" t="str">
        <v>واحد مطالعه بر اساس بازهٔ صفحه</v>
      </c>
      <c r="G21" s="281" t="str">
        <v>۲۵۳ تا ۲۶۰</v>
      </c>
      <c r="H21" s="681" t="n">
        <v>8</v>
      </c>
      <c r="I21" s="281" t="str">
        <v>۱۴۰۵/۰۶/۰۳</v>
      </c>
      <c r="J21" s="684" t="n">
        <v>34.8</v>
      </c>
      <c r="K21" s="281" t="str">
        <v>۱۴۰۵/۰۶/۰۳</v>
      </c>
      <c r="L21" s="281" t="str">
        <v>۱۴۰۵/۰۶/۰۴</v>
      </c>
      <c r="M21" s="281" t="str">
        <v>۱۴۰۵/۰۶/۰۶</v>
      </c>
      <c r="N21" s="281" t="str">
        <v>۱۴۰۵/۰۶/۱۰</v>
      </c>
      <c r="O21" s="281" t="str">
        <v>۱۴۰۵/۰۶/۱۷</v>
      </c>
      <c r="P21" s="281" t="str">
        <v>۱۴۰۵/۰۶/۳۱</v>
      </c>
      <c r="Q21" s="411"/>
      <c r="R21" s="687" t="n">
        <v>1</v>
      </c>
      <c r="S21" s="687"/>
      <c r="T21" s="412"/>
      <c r="U21" s="412"/>
      <c r="V21" s="412"/>
      <c r="W21" s="687" t="str">
        <v>0</v>
      </c>
      <c r="X21" s="412" t="str">
        <v>خیر</v>
      </c>
      <c r="Y21" s="413" t="str">
        <v>خیر</v>
      </c>
      <c r="Z21" s="430" t="str">
        <f>IF(AM21="","",IF(AM21&gt;AO21,"تثبیت نهایی",IFERROR(INDEX('برنامه خرد'!$A$2:$A$82,MATCH(AM21,'برنامه خرد'!$I$2:$I$82,0)),"تثبیت نهایی")))</f>
        <v>۱۴۰۵/۰۶/۰۵</v>
      </c>
      <c r="AA21" s="431" t="str">
        <v>۱۴۰۵/۰۶/۰۵</v>
      </c>
      <c r="AB21" s="690" t="n">
        <f>IF(AM21="","",AM21-AN21)</f>
        <v>0</v>
      </c>
      <c r="AC21" s="431" t="str">
        <f>IF(AM21="","فاقد داده",IF(AM21&gt;AO21,"انتقال به تثبیت نهایی",IF(AM21&lt;TODAY(),"عقب‌افتاده",IF(AM21=TODAY(),"سررسید امروز","آینده"))))</f>
        <v>آینده</v>
      </c>
      <c r="AD21" s="432" t="str">
        <f>IF(OR(AM21&gt;AO21,Z21="تثبیت نهایی"),"بله","خیر")</f>
        <v>خیر</v>
      </c>
      <c r="AE21" s="436" t="str">
        <v>این فرمول فقط تاریخ پیشنهادی را محاسبه می‌کند و ردیف‌های برنامهٔ روزانه را خودکار جابه‌جا نمی‌کند.</v>
      </c>
      <c r="AF21" s="1423" t="n">
        <v>46259</v>
      </c>
      <c r="AG21" s="1423" t="n">
        <v>46260</v>
      </c>
      <c r="AH21" s="1423" t="n">
        <v>46262</v>
      </c>
      <c r="AI21" s="1423" t="n">
        <v>46266</v>
      </c>
      <c r="AJ21" s="1423" t="n">
        <v>46273</v>
      </c>
      <c r="AK21" s="1423" t="n">
        <v>46287</v>
      </c>
      <c r="AL21" s="1423" t="str">
        <f>IFERROR(INDEX('برنامه خرد'!$I$2:$I$82,MATCH(Q21,'برنامه خرد'!$A$2:$A$82,0)),"")</f>
      </c>
      <c r="AM21" s="1423" t="n">
        <f>IF(AL21="",AN21,IF(T21="غلط یا کمتر از ۵۰٪",AL21+1,IF(T21="ناقص یا همراه با حدس",AL21+2,IF(T21="درست ولی کند و مردد",AL21+4,IF(T21="درست، سریع و کامل",IF(W21&gt;=2,AL21+IF(R21&lt;14,14,28),AL21+MIN(28,MAX(3,R21*2))),AN21)))))</f>
        <v>46261</v>
      </c>
      <c r="AN21" s="1423" t="n">
        <v>46261</v>
      </c>
      <c r="AO21" s="1423" t="n">
        <v>46317</v>
      </c>
    </row>
    <row r="22" ht="38" customHeight="1">
      <c r="A22" s="366" t="str">
        <v>U021</v>
      </c>
      <c r="B22" s="367" t="str">
        <v>آسیب‌شناسی روانی</v>
      </c>
      <c r="C22" s="367" t="str">
        <v>روان‌شناسی مرضی و آسیب‌شناسی</v>
      </c>
      <c r="D22" s="367" t="str">
        <v>5</v>
      </c>
      <c r="E22" s="367" t="str">
        <v>اختلالات افسردگی</v>
      </c>
      <c r="F22" s="367" t="str">
        <v>واحد مطالعه بر اساس بازهٔ صفحه</v>
      </c>
      <c r="G22" s="367" t="str">
        <v>۲۶۱ تا ۲۷۲</v>
      </c>
      <c r="H22" s="680" t="n">
        <v>12</v>
      </c>
      <c r="I22" s="367" t="str">
        <v>۱۴۰۵/۰۶/۰۳</v>
      </c>
      <c r="J22" s="683" t="n">
        <v>52.2</v>
      </c>
      <c r="K22" s="367" t="str">
        <v>۱۴۰۵/۰۶/۰۳</v>
      </c>
      <c r="L22" s="367" t="str">
        <v>۱۴۰۵/۰۶/۰۴</v>
      </c>
      <c r="M22" s="367" t="str">
        <v>۱۴۰۵/۰۶/۰۶</v>
      </c>
      <c r="N22" s="367" t="str">
        <v>۱۴۰۵/۰۶/۱۰</v>
      </c>
      <c r="O22" s="367" t="str">
        <v>۱۴۰۵/۰۶/۱۷</v>
      </c>
      <c r="P22" s="367" t="str">
        <v>۱۴۰۵/۰۶/۳۱</v>
      </c>
      <c r="Q22" s="411"/>
      <c r="R22" s="687" t="n">
        <v>1</v>
      </c>
      <c r="S22" s="687"/>
      <c r="T22" s="412"/>
      <c r="U22" s="412"/>
      <c r="V22" s="412"/>
      <c r="W22" s="687" t="str">
        <v>0</v>
      </c>
      <c r="X22" s="412" t="str">
        <v>خیر</v>
      </c>
      <c r="Y22" s="413" t="str">
        <v>خیر</v>
      </c>
      <c r="Z22" s="430" t="str">
        <f>IF(AM22="","",IF(AM22&gt;AO22,"تثبیت نهایی",IFERROR(INDEX('برنامه خرد'!$A$2:$A$82,MATCH(AM22,'برنامه خرد'!$I$2:$I$82,0)),"تثبیت نهایی")))</f>
        <v>۱۴۰۵/۰۶/۰۵</v>
      </c>
      <c r="AA22" s="431" t="str">
        <v>۱۴۰۵/۰۶/۰۵</v>
      </c>
      <c r="AB22" s="690" t="n">
        <f>IF(AM22="","",AM22-AN22)</f>
        <v>0</v>
      </c>
      <c r="AC22" s="431" t="str">
        <f>IF(AM22="","فاقد داده",IF(AM22&gt;AO22,"انتقال به تثبیت نهایی",IF(AM22&lt;TODAY(),"عقب‌افتاده",IF(AM22=TODAY(),"سررسید امروز","آینده"))))</f>
        <v>آینده</v>
      </c>
      <c r="AD22" s="432" t="str">
        <f>IF(OR(AM22&gt;AO22,Z22="تثبیت نهایی"),"بله","خیر")</f>
        <v>خیر</v>
      </c>
      <c r="AE22" s="436" t="str">
        <v>این فرمول فقط تاریخ پیشنهادی را محاسبه می‌کند و ردیف‌های برنامهٔ روزانه را خودکار جابه‌جا نمی‌کند.</v>
      </c>
      <c r="AF22" s="1423" t="n">
        <v>46259</v>
      </c>
      <c r="AG22" s="1423" t="n">
        <v>46260</v>
      </c>
      <c r="AH22" s="1423" t="n">
        <v>46262</v>
      </c>
      <c r="AI22" s="1423" t="n">
        <v>46266</v>
      </c>
      <c r="AJ22" s="1423" t="n">
        <v>46273</v>
      </c>
      <c r="AK22" s="1423" t="n">
        <v>46287</v>
      </c>
      <c r="AL22" s="1423" t="str">
        <f>IFERROR(INDEX('برنامه خرد'!$I$2:$I$82,MATCH(Q22,'برنامه خرد'!$A$2:$A$82,0)),"")</f>
      </c>
      <c r="AM22" s="1423" t="n">
        <f>IF(AL22="",AN22,IF(T22="غلط یا کمتر از ۵۰٪",AL22+1,IF(T22="ناقص یا همراه با حدس",AL22+2,IF(T22="درست ولی کند و مردد",AL22+4,IF(T22="درست، سریع و کامل",IF(W22&gt;=2,AL22+IF(R22&lt;14,14,28),AL22+MIN(28,MAX(3,R22*2))),AN22)))))</f>
        <v>46261</v>
      </c>
      <c r="AN22" s="1423" t="n">
        <v>46261</v>
      </c>
      <c r="AO22" s="1423" t="n">
        <v>46317</v>
      </c>
    </row>
    <row r="23" ht="38" customHeight="1">
      <c r="A23" s="280" t="str">
        <v>U022</v>
      </c>
      <c r="B23" s="281" t="str">
        <v>آسیب‌شناسی روانی</v>
      </c>
      <c r="C23" s="281" t="str">
        <v>روان‌شناسی مرضی و آسیب‌شناسی</v>
      </c>
      <c r="D23" s="281" t="str">
        <v>5</v>
      </c>
      <c r="E23" s="281" t="str">
        <v>اختلالات افسردگی</v>
      </c>
      <c r="F23" s="281" t="str">
        <v>واحد مطالعه بر اساس بازهٔ صفحه</v>
      </c>
      <c r="G23" s="281" t="str">
        <v>۲۷۳ تا ۲۹۲</v>
      </c>
      <c r="H23" s="681" t="n">
        <v>20</v>
      </c>
      <c r="I23" s="281" t="str">
        <v>۱۴۰۵/۰۶/۰۵</v>
      </c>
      <c r="J23" s="684" t="n">
        <v>87</v>
      </c>
      <c r="K23" s="281" t="str">
        <v>۱۴۰۵/۰۶/۰۵</v>
      </c>
      <c r="L23" s="281" t="str">
        <v>۱۴۰۵/۰۶/۰۶</v>
      </c>
      <c r="M23" s="281" t="str">
        <v>۱۴۰۵/۰۶/۰۸</v>
      </c>
      <c r="N23" s="281" t="str">
        <v>۱۴۰۵/۰۶/۱۲</v>
      </c>
      <c r="O23" s="281" t="str">
        <v>۱۴۰۵/۰۶/۱۹</v>
      </c>
      <c r="P23" s="281" t="str">
        <v>۱۴۰۵/۰۷/۰۲</v>
      </c>
      <c r="Q23" s="411"/>
      <c r="R23" s="687" t="n">
        <v>1</v>
      </c>
      <c r="S23" s="687"/>
      <c r="T23" s="412"/>
      <c r="U23" s="412"/>
      <c r="V23" s="412"/>
      <c r="W23" s="687" t="str">
        <v>0</v>
      </c>
      <c r="X23" s="412" t="str">
        <v>خیر</v>
      </c>
      <c r="Y23" s="413" t="str">
        <v>خیر</v>
      </c>
      <c r="Z23" s="430" t="str">
        <f>IF(AM23="","",IF(AM23&gt;AO23,"تثبیت نهایی",IFERROR(INDEX('برنامه خرد'!$A$2:$A$82,MATCH(AM23,'برنامه خرد'!$I$2:$I$82,0)),"تثبیت نهایی")))</f>
        <v>۱۴۰۵/۰۶/۰۷</v>
      </c>
      <c r="AA23" s="431" t="str">
        <v>۱۴۰۵/۰۶/۰۷</v>
      </c>
      <c r="AB23" s="690" t="n">
        <f>IF(AM23="","",AM23-AN23)</f>
        <v>0</v>
      </c>
      <c r="AC23" s="431" t="str">
        <f>IF(AM23="","فاقد داده",IF(AM23&gt;AO23,"انتقال به تثبیت نهایی",IF(AM23&lt;TODAY(),"عقب‌افتاده",IF(AM23=TODAY(),"سررسید امروز","آینده"))))</f>
        <v>آینده</v>
      </c>
      <c r="AD23" s="432" t="str">
        <f>IF(OR(AM23&gt;AO23,Z23="تثبیت نهایی"),"بله","خیر")</f>
        <v>خیر</v>
      </c>
      <c r="AE23" s="436" t="str">
        <v>این فرمول فقط تاریخ پیشنهادی را محاسبه می‌کند و ردیف‌های برنامهٔ روزانه را خودکار جابه‌جا نمی‌کند.</v>
      </c>
      <c r="AF23" s="1423" t="n">
        <v>46261</v>
      </c>
      <c r="AG23" s="1423" t="n">
        <v>46262</v>
      </c>
      <c r="AH23" s="1423" t="n">
        <v>46264</v>
      </c>
      <c r="AI23" s="1423" t="n">
        <v>46268</v>
      </c>
      <c r="AJ23" s="1423" t="n">
        <v>46275</v>
      </c>
      <c r="AK23" s="1423" t="n">
        <v>46289</v>
      </c>
      <c r="AL23" s="1423" t="str">
        <f>IFERROR(INDEX('برنامه خرد'!$I$2:$I$82,MATCH(Q23,'برنامه خرد'!$A$2:$A$82,0)),"")</f>
      </c>
      <c r="AM23" s="1423" t="n">
        <f>IF(AL23="",AN23,IF(T23="غلط یا کمتر از ۵۰٪",AL23+1,IF(T23="ناقص یا همراه با حدس",AL23+2,IF(T23="درست ولی کند و مردد",AL23+4,IF(T23="درست، سریع و کامل",IF(W23&gt;=2,AL23+IF(R23&lt;14,14,28),AL23+MIN(28,MAX(3,R23*2))),AN23)))))</f>
        <v>46263</v>
      </c>
      <c r="AN23" s="1423" t="n">
        <v>46263</v>
      </c>
      <c r="AO23" s="1423" t="n">
        <v>46317</v>
      </c>
    </row>
    <row r="24" ht="38" customHeight="1">
      <c r="A24" s="366" t="str">
        <v>U023</v>
      </c>
      <c r="B24" s="367" t="str">
        <v>آسیب‌شناسی روانی</v>
      </c>
      <c r="C24" s="367" t="str">
        <v>روان‌شناسی مرضی و آسیب‌شناسی</v>
      </c>
      <c r="D24" s="367" t="str">
        <v>5</v>
      </c>
      <c r="E24" s="367" t="str">
        <v>اختلالات افسردگی</v>
      </c>
      <c r="F24" s="367" t="str">
        <v>واحد مطالعه بر اساس بازهٔ صفحه</v>
      </c>
      <c r="G24" s="367" t="str">
        <v>۲۹۳ تا ۲۹۸</v>
      </c>
      <c r="H24" s="680" t="n">
        <v>6</v>
      </c>
      <c r="I24" s="367" t="str">
        <v>۱۴۰۵/۰۶/۰۷</v>
      </c>
      <c r="J24" s="683" t="n">
        <v>25</v>
      </c>
      <c r="K24" s="367" t="str">
        <v>۱۴۰۵/۰۶/۰۷</v>
      </c>
      <c r="L24" s="367" t="str">
        <v>۱۴۰۵/۰۶/۰۸</v>
      </c>
      <c r="M24" s="367" t="str">
        <v>۱۴۰۵/۰۶/۱۰</v>
      </c>
      <c r="N24" s="367" t="str">
        <v>۱۴۰۵/۰۶/۱۴</v>
      </c>
      <c r="O24" s="367" t="str">
        <v>۱۴۰۵/۰۶/۲۱</v>
      </c>
      <c r="P24" s="367" t="str">
        <v>۱۴۰۵/۰۷/۰۴</v>
      </c>
      <c r="Q24" s="411"/>
      <c r="R24" s="687" t="n">
        <v>1</v>
      </c>
      <c r="S24" s="687"/>
      <c r="T24" s="412"/>
      <c r="U24" s="412"/>
      <c r="V24" s="412"/>
      <c r="W24" s="687" t="str">
        <v>0</v>
      </c>
      <c r="X24" s="412" t="str">
        <v>خیر</v>
      </c>
      <c r="Y24" s="413" t="str">
        <v>خیر</v>
      </c>
      <c r="Z24" s="430" t="str">
        <f>IF(AM24="","",IF(AM24&gt;AO24,"تثبیت نهایی",IFERROR(INDEX('برنامه خرد'!$A$2:$A$82,MATCH(AM24,'برنامه خرد'!$I$2:$I$82,0)),"تثبیت نهایی")))</f>
        <v>۱۴۰۵/۰۶/۰۸</v>
      </c>
      <c r="AA24" s="431" t="str">
        <v>۱۴۰۵/۰۶/۰۸</v>
      </c>
      <c r="AB24" s="690" t="n">
        <f>IF(AM24="","",AM24-AN24)</f>
        <v>0</v>
      </c>
      <c r="AC24" s="431" t="str">
        <f>IF(AM24="","فاقد داده",IF(AM24&gt;AO24,"انتقال به تثبیت نهایی",IF(AM24&lt;TODAY(),"عقب‌افتاده",IF(AM24=TODAY(),"سررسید امروز","آینده"))))</f>
        <v>آینده</v>
      </c>
      <c r="AD24" s="432" t="str">
        <f>IF(OR(AM24&gt;AO24,Z24="تثبیت نهایی"),"بله","خیر")</f>
        <v>خیر</v>
      </c>
      <c r="AE24" s="436" t="str">
        <v>این فرمول فقط تاریخ پیشنهادی را محاسبه می‌کند و ردیف‌های برنامهٔ روزانه را خودکار جابه‌جا نمی‌کند.</v>
      </c>
      <c r="AF24" s="1423" t="n">
        <v>46263</v>
      </c>
      <c r="AG24" s="1423" t="n">
        <v>46264</v>
      </c>
      <c r="AH24" s="1423" t="n">
        <v>46266</v>
      </c>
      <c r="AI24" s="1423" t="n">
        <v>46270</v>
      </c>
      <c r="AJ24" s="1423" t="n">
        <v>46277</v>
      </c>
      <c r="AK24" s="1423" t="n">
        <v>46291</v>
      </c>
      <c r="AL24" s="1423" t="str">
        <f>IFERROR(INDEX('برنامه خرد'!$I$2:$I$82,MATCH(Q24,'برنامه خرد'!$A$2:$A$82,0)),"")</f>
      </c>
      <c r="AM24" s="1423" t="n">
        <f>IF(AL24="",AN24,IF(T24="غلط یا کمتر از ۵۰٪",AL24+1,IF(T24="ناقص یا همراه با حدس",AL24+2,IF(T24="درست ولی کند و مردد",AL24+4,IF(T24="درست، سریع و کامل",IF(W24&gt;=2,AL24+IF(R24&lt;14,14,28),AL24+MIN(28,MAX(3,R24*2))),AN24)))))</f>
        <v>46264</v>
      </c>
      <c r="AN24" s="1423" t="n">
        <v>46264</v>
      </c>
      <c r="AO24" s="1423" t="n">
        <v>46317</v>
      </c>
    </row>
    <row r="25" ht="38" customHeight="1">
      <c r="A25" s="280" t="str">
        <v>U024</v>
      </c>
      <c r="B25" s="281" t="str">
        <v>آسیب‌شناسی روانی</v>
      </c>
      <c r="C25" s="281" t="str">
        <v>روان‌شناسی مرضی و آسیب‌شناسی</v>
      </c>
      <c r="D25" s="281" t="str">
        <v>5</v>
      </c>
      <c r="E25" s="281" t="str">
        <v>اختلالات افسردگی</v>
      </c>
      <c r="F25" s="281" t="str">
        <v>واحد مطالعه بر اساس بازهٔ صفحه</v>
      </c>
      <c r="G25" s="281" t="str">
        <v>۲۹۹ تا ۳۰۴</v>
      </c>
      <c r="H25" s="681" t="n">
        <v>6</v>
      </c>
      <c r="I25" s="281" t="str">
        <v>۱۴۰۵/۰۶/۰۸</v>
      </c>
      <c r="J25" s="684" t="n">
        <v>25</v>
      </c>
      <c r="K25" s="281" t="str">
        <v>۱۴۰۵/۰۶/۰۸</v>
      </c>
      <c r="L25" s="281" t="str">
        <v>۱۴۰۵/۰۶/۰۹</v>
      </c>
      <c r="M25" s="281" t="str">
        <v>۱۴۰۵/۰۶/۱۱</v>
      </c>
      <c r="N25" s="281" t="str">
        <v>۱۴۰۵/۰۶/۱۵</v>
      </c>
      <c r="O25" s="281" t="str">
        <v>۱۴۰۵/۰۶/۲۲</v>
      </c>
      <c r="P25" s="281" t="str">
        <v>۱۴۰۵/۰۷/۰۵</v>
      </c>
      <c r="Q25" s="411"/>
      <c r="R25" s="687" t="n">
        <v>1</v>
      </c>
      <c r="S25" s="687"/>
      <c r="T25" s="412"/>
      <c r="U25" s="412"/>
      <c r="V25" s="412"/>
      <c r="W25" s="687" t="str">
        <v>0</v>
      </c>
      <c r="X25" s="412" t="str">
        <v>خیر</v>
      </c>
      <c r="Y25" s="413" t="str">
        <v>خیر</v>
      </c>
      <c r="Z25" s="430" t="str">
        <f>IF(AM25="","",IF(AM25&gt;AO25,"تثبیت نهایی",IFERROR(INDEX('برنامه خرد'!$A$2:$A$82,MATCH(AM25,'برنامه خرد'!$I$2:$I$82,0)),"تثبیت نهایی")))</f>
        <v>۱۴۰۵/۰۶/۰۹</v>
      </c>
      <c r="AA25" s="431" t="str">
        <v>۱۴۰۵/۰۶/۰۹</v>
      </c>
      <c r="AB25" s="690" t="n">
        <f>IF(AM25="","",AM25-AN25)</f>
        <v>0</v>
      </c>
      <c r="AC25" s="431" t="str">
        <f>IF(AM25="","فاقد داده",IF(AM25&gt;AO25,"انتقال به تثبیت نهایی",IF(AM25&lt;TODAY(),"عقب‌افتاده",IF(AM25=TODAY(),"سررسید امروز","آینده"))))</f>
        <v>آینده</v>
      </c>
      <c r="AD25" s="432" t="str">
        <f>IF(OR(AM25&gt;AO25,Z25="تثبیت نهایی"),"بله","خیر")</f>
        <v>خیر</v>
      </c>
      <c r="AE25" s="436" t="str">
        <v>این فرمول فقط تاریخ پیشنهادی را محاسبه می‌کند و ردیف‌های برنامهٔ روزانه را خودکار جابه‌جا نمی‌کند.</v>
      </c>
      <c r="AF25" s="1423" t="n">
        <v>46264</v>
      </c>
      <c r="AG25" s="1423" t="n">
        <v>46265</v>
      </c>
      <c r="AH25" s="1423" t="n">
        <v>46267</v>
      </c>
      <c r="AI25" s="1423" t="n">
        <v>46271</v>
      </c>
      <c r="AJ25" s="1423" t="n">
        <v>46278</v>
      </c>
      <c r="AK25" s="1423" t="n">
        <v>46292</v>
      </c>
      <c r="AL25" s="1423" t="str">
        <f>IFERROR(INDEX('برنامه خرد'!$I$2:$I$82,MATCH(Q25,'برنامه خرد'!$A$2:$A$82,0)),"")</f>
      </c>
      <c r="AM25" s="1423" t="n">
        <f>IF(AL25="",AN25,IF(T25="غلط یا کمتر از ۵۰٪",AL25+1,IF(T25="ناقص یا همراه با حدس",AL25+2,IF(T25="درست ولی کند و مردد",AL25+4,IF(T25="درست، سریع و کامل",IF(W25&gt;=2,AL25+IF(R25&lt;14,14,28),AL25+MIN(28,MAX(3,R25*2))),AN25)))))</f>
        <v>46265</v>
      </c>
      <c r="AN25" s="1423" t="n">
        <v>46265</v>
      </c>
      <c r="AO25" s="1423" t="n">
        <v>46317</v>
      </c>
    </row>
    <row r="26" ht="38" customHeight="1">
      <c r="A26" s="366" t="str">
        <v>U025</v>
      </c>
      <c r="B26" s="367" t="str">
        <v>آسیب‌شناسی روانی</v>
      </c>
      <c r="C26" s="367" t="str">
        <v>روان‌شناسی مرضی و آسیب‌شناسی</v>
      </c>
      <c r="D26" s="367" t="str">
        <v>5</v>
      </c>
      <c r="E26" s="367" t="str">
        <v>اختلالات افسردگی</v>
      </c>
      <c r="F26" s="367" t="str">
        <v>واحد مطالعه بر اساس بازهٔ صفحه</v>
      </c>
      <c r="G26" s="367" t="str">
        <v>۳۰۵ تا ۳۱۰</v>
      </c>
      <c r="H26" s="680" t="n">
        <v>6</v>
      </c>
      <c r="I26" s="367" t="str">
        <v>۱۴۰۵/۰۶/۰۹</v>
      </c>
      <c r="J26" s="683" t="n">
        <v>25</v>
      </c>
      <c r="K26" s="367" t="str">
        <v>۱۴۰۵/۰۶/۰۹</v>
      </c>
      <c r="L26" s="367" t="str">
        <v>۱۴۰۵/۰۶/۱۰</v>
      </c>
      <c r="M26" s="367" t="str">
        <v>۱۴۰۵/۰۶/۱۲</v>
      </c>
      <c r="N26" s="367" t="str">
        <v>۱۴۰۵/۰۶/۱۶</v>
      </c>
      <c r="O26" s="367" t="str">
        <v>۱۴۰۵/۰۶/۲۳</v>
      </c>
      <c r="P26" s="367" t="str">
        <v>۱۴۰۵/۰۷/۰۶</v>
      </c>
      <c r="Q26" s="411"/>
      <c r="R26" s="687" t="n">
        <v>1</v>
      </c>
      <c r="S26" s="687"/>
      <c r="T26" s="412"/>
      <c r="U26" s="412"/>
      <c r="V26" s="412"/>
      <c r="W26" s="687" t="str">
        <v>0</v>
      </c>
      <c r="X26" s="412" t="str">
        <v>خیر</v>
      </c>
      <c r="Y26" s="413" t="str">
        <v>خیر</v>
      </c>
      <c r="Z26" s="430" t="str">
        <f>IF(AM26="","",IF(AM26&gt;AO26,"تثبیت نهایی",IFERROR(INDEX('برنامه خرد'!$A$2:$A$82,MATCH(AM26,'برنامه خرد'!$I$2:$I$82,0)),"تثبیت نهایی")))</f>
        <v>۱۴۰۵/۰۶/۱۰</v>
      </c>
      <c r="AA26" s="431" t="str">
        <v>۱۴۰۵/۰۶/۱۰</v>
      </c>
      <c r="AB26" s="690" t="n">
        <f>IF(AM26="","",AM26-AN26)</f>
        <v>0</v>
      </c>
      <c r="AC26" s="431" t="str">
        <f>IF(AM26="","فاقد داده",IF(AM26&gt;AO26,"انتقال به تثبیت نهایی",IF(AM26&lt;TODAY(),"عقب‌افتاده",IF(AM26=TODAY(),"سررسید امروز","آینده"))))</f>
        <v>آینده</v>
      </c>
      <c r="AD26" s="432" t="str">
        <f>IF(OR(AM26&gt;AO26,Z26="تثبیت نهایی"),"بله","خیر")</f>
        <v>خیر</v>
      </c>
      <c r="AE26" s="436" t="str">
        <v>این فرمول فقط تاریخ پیشنهادی را محاسبه می‌کند و ردیف‌های برنامهٔ روزانه را خودکار جابه‌جا نمی‌کند.</v>
      </c>
      <c r="AF26" s="1423" t="n">
        <v>46265</v>
      </c>
      <c r="AG26" s="1423" t="n">
        <v>46266</v>
      </c>
      <c r="AH26" s="1423" t="n">
        <v>46268</v>
      </c>
      <c r="AI26" s="1423" t="n">
        <v>46272</v>
      </c>
      <c r="AJ26" s="1423" t="n">
        <v>46279</v>
      </c>
      <c r="AK26" s="1423" t="n">
        <v>46293</v>
      </c>
      <c r="AL26" s="1423" t="str">
        <f>IFERROR(INDEX('برنامه خرد'!$I$2:$I$82,MATCH(Q26,'برنامه خرد'!$A$2:$A$82,0)),"")</f>
      </c>
      <c r="AM26" s="1423" t="n">
        <f>IF(AL26="",AN26,IF(T26="غلط یا کمتر از ۵۰٪",AL26+1,IF(T26="ناقص یا همراه با حدس",AL26+2,IF(T26="درست ولی کند و مردد",AL26+4,IF(T26="درست، سریع و کامل",IF(W26&gt;=2,AL26+IF(R26&lt;14,14,28),AL26+MIN(28,MAX(3,R26*2))),AN26)))))</f>
        <v>46266</v>
      </c>
      <c r="AN26" s="1423" t="n">
        <v>46266</v>
      </c>
      <c r="AO26" s="1423" t="n">
        <v>46317</v>
      </c>
    </row>
    <row r="27" ht="38" customHeight="1">
      <c r="A27" s="280" t="str">
        <v>U026</v>
      </c>
      <c r="B27" s="281" t="str">
        <v>آسیب‌شناسی روانی</v>
      </c>
      <c r="C27" s="281" t="str">
        <v>روان‌شناسی مرضی و آسیب‌شناسی</v>
      </c>
      <c r="D27" s="281" t="str">
        <v>6</v>
      </c>
      <c r="E27" s="281" t="str">
        <v>اختلالات اضطرابی</v>
      </c>
      <c r="F27" s="281" t="str">
        <v>واحد مطالعه بر اساس بازهٔ صفحه</v>
      </c>
      <c r="G27" s="281" t="str">
        <v>۳۱۱ تا ۳۳۰</v>
      </c>
      <c r="H27" s="681" t="n">
        <v>20</v>
      </c>
      <c r="I27" s="281" t="str">
        <v>۱۴۰۵/۰۶/۱۰</v>
      </c>
      <c r="J27" s="684" t="n">
        <v>87</v>
      </c>
      <c r="K27" s="281" t="str">
        <v>۱۴۰۵/۰۶/۱۰</v>
      </c>
      <c r="L27" s="281" t="str">
        <v>۱۴۰۵/۰۶/۱۱</v>
      </c>
      <c r="M27" s="281" t="str">
        <v>۱۴۰۵/۰۶/۱۳</v>
      </c>
      <c r="N27" s="281" t="str">
        <v>۱۴۰۵/۰۶/۱۷</v>
      </c>
      <c r="O27" s="281" t="str">
        <v>۱۴۰۵/۰۶/۲۴</v>
      </c>
      <c r="P27" s="281" t="str">
        <v>۱۴۰۵/۰۷/۰۷</v>
      </c>
      <c r="Q27" s="411"/>
      <c r="R27" s="687" t="n">
        <v>1</v>
      </c>
      <c r="S27" s="687"/>
      <c r="T27" s="412"/>
      <c r="U27" s="412"/>
      <c r="V27" s="412"/>
      <c r="W27" s="687" t="str">
        <v>0</v>
      </c>
      <c r="X27" s="412" t="str">
        <v>خیر</v>
      </c>
      <c r="Y27" s="413" t="str">
        <v>خیر</v>
      </c>
      <c r="Z27" s="430" t="str">
        <f>IF(AM27="","",IF(AM27&gt;AO27,"تثبیت نهایی",IFERROR(INDEX('برنامه خرد'!$A$2:$A$82,MATCH(AM27,'برنامه خرد'!$I$2:$I$82,0)),"تثبیت نهایی")))</f>
        <v>۱۴۰۵/۰۶/۱۲</v>
      </c>
      <c r="AA27" s="431" t="str">
        <v>۱۴۰۵/۰۶/۱۲</v>
      </c>
      <c r="AB27" s="690" t="n">
        <f>IF(AM27="","",AM27-AN27)</f>
        <v>0</v>
      </c>
      <c r="AC27" s="431" t="str">
        <f>IF(AM27="","فاقد داده",IF(AM27&gt;AO27,"انتقال به تثبیت نهایی",IF(AM27&lt;TODAY(),"عقب‌افتاده",IF(AM27=TODAY(),"سررسید امروز","آینده"))))</f>
        <v>آینده</v>
      </c>
      <c r="AD27" s="432" t="str">
        <f>IF(OR(AM27&gt;AO27,Z27="تثبیت نهایی"),"بله","خیر")</f>
        <v>خیر</v>
      </c>
      <c r="AE27" s="436" t="str">
        <v>این فرمول فقط تاریخ پیشنهادی را محاسبه می‌کند و ردیف‌های برنامهٔ روزانه را خودکار جابه‌جا نمی‌کند.</v>
      </c>
      <c r="AF27" s="1423" t="n">
        <v>46266</v>
      </c>
      <c r="AG27" s="1423" t="n">
        <v>46267</v>
      </c>
      <c r="AH27" s="1423" t="n">
        <v>46269</v>
      </c>
      <c r="AI27" s="1423" t="n">
        <v>46273</v>
      </c>
      <c r="AJ27" s="1423" t="n">
        <v>46280</v>
      </c>
      <c r="AK27" s="1423" t="n">
        <v>46294</v>
      </c>
      <c r="AL27" s="1423" t="str">
        <f>IFERROR(INDEX('برنامه خرد'!$I$2:$I$82,MATCH(Q27,'برنامه خرد'!$A$2:$A$82,0)),"")</f>
      </c>
      <c r="AM27" s="1423" t="n">
        <f>IF(AL27="",AN27,IF(T27="غلط یا کمتر از ۵۰٪",AL27+1,IF(T27="ناقص یا همراه با حدس",AL27+2,IF(T27="درست ولی کند و مردد",AL27+4,IF(T27="درست، سریع و کامل",IF(W27&gt;=2,AL27+IF(R27&lt;14,14,28),AL27+MIN(28,MAX(3,R27*2))),AN27)))))</f>
        <v>46268</v>
      </c>
      <c r="AN27" s="1423" t="n">
        <v>46268</v>
      </c>
      <c r="AO27" s="1423" t="n">
        <v>46317</v>
      </c>
    </row>
    <row r="28" ht="38" customHeight="1">
      <c r="A28" s="366" t="str">
        <v>U027</v>
      </c>
      <c r="B28" s="367" t="str">
        <v>آسیب‌شناسی روانی</v>
      </c>
      <c r="C28" s="367" t="str">
        <v>روان‌شناسی مرضی و آسیب‌شناسی</v>
      </c>
      <c r="D28" s="367" t="str">
        <v>6</v>
      </c>
      <c r="E28" s="367" t="str">
        <v>اختلالات اضطرابی</v>
      </c>
      <c r="F28" s="367" t="str">
        <v>واحد مطالعه بر اساس بازهٔ صفحه</v>
      </c>
      <c r="G28" s="367" t="str">
        <v>۳۳۱ تا ۳۵۰</v>
      </c>
      <c r="H28" s="680" t="n">
        <v>20</v>
      </c>
      <c r="I28" s="367" t="str">
        <v>۱۴۰۵/۰۶/۱۲</v>
      </c>
      <c r="J28" s="683" t="n">
        <v>87</v>
      </c>
      <c r="K28" s="367" t="str">
        <v>۱۴۰۵/۰۶/۱۲</v>
      </c>
      <c r="L28" s="367" t="str">
        <v>۱۴۰۵/۰۶/۱۳</v>
      </c>
      <c r="M28" s="367" t="str">
        <v>۱۴۰۵/۰۶/۱۵</v>
      </c>
      <c r="N28" s="367" t="str">
        <v>۱۴۰۵/۰۶/۱۹</v>
      </c>
      <c r="O28" s="367" t="str">
        <v>۱۴۰۵/۰۶/۲۶</v>
      </c>
      <c r="P28" s="367" t="str">
        <v>۱۴۰۵/۰۷/۰۹</v>
      </c>
      <c r="Q28" s="411"/>
      <c r="R28" s="687" t="n">
        <v>1</v>
      </c>
      <c r="S28" s="687"/>
      <c r="T28" s="412"/>
      <c r="U28" s="412"/>
      <c r="V28" s="412"/>
      <c r="W28" s="687" t="str">
        <v>0</v>
      </c>
      <c r="X28" s="412" t="str">
        <v>خیر</v>
      </c>
      <c r="Y28" s="413" t="str">
        <v>خیر</v>
      </c>
      <c r="Z28" s="430" t="str">
        <f>IF(AM28="","",IF(AM28&gt;AO28,"تثبیت نهایی",IFERROR(INDEX('برنامه خرد'!$A$2:$A$82,MATCH(AM28,'برنامه خرد'!$I$2:$I$82,0)),"تثبیت نهایی")))</f>
        <v>۱۴۰۵/۰۶/۱۴</v>
      </c>
      <c r="AA28" s="431" t="str">
        <v>۱۴۰۵/۰۶/۱۴</v>
      </c>
      <c r="AB28" s="690" t="n">
        <f>IF(AM28="","",AM28-AN28)</f>
        <v>0</v>
      </c>
      <c r="AC28" s="431" t="str">
        <f>IF(AM28="","فاقد داده",IF(AM28&gt;AO28,"انتقال به تثبیت نهایی",IF(AM28&lt;TODAY(),"عقب‌افتاده",IF(AM28=TODAY(),"سررسید امروز","آینده"))))</f>
        <v>آینده</v>
      </c>
      <c r="AD28" s="432" t="str">
        <f>IF(OR(AM28&gt;AO28,Z28="تثبیت نهایی"),"بله","خیر")</f>
        <v>خیر</v>
      </c>
      <c r="AE28" s="436" t="str">
        <v>این فرمول فقط تاریخ پیشنهادی را محاسبه می‌کند و ردیف‌های برنامهٔ روزانه را خودکار جابه‌جا نمی‌کند.</v>
      </c>
      <c r="AF28" s="1423" t="n">
        <v>46268</v>
      </c>
      <c r="AG28" s="1423" t="n">
        <v>46269</v>
      </c>
      <c r="AH28" s="1423" t="n">
        <v>46271</v>
      </c>
      <c r="AI28" s="1423" t="n">
        <v>46275</v>
      </c>
      <c r="AJ28" s="1423" t="n">
        <v>46282</v>
      </c>
      <c r="AK28" s="1423" t="n">
        <v>46296</v>
      </c>
      <c r="AL28" s="1423" t="str">
        <f>IFERROR(INDEX('برنامه خرد'!$I$2:$I$82,MATCH(Q28,'برنامه خرد'!$A$2:$A$82,0)),"")</f>
      </c>
      <c r="AM28" s="1423" t="n">
        <f>IF(AL28="",AN28,IF(T28="غلط یا کمتر از ۵۰٪",AL28+1,IF(T28="ناقص یا همراه با حدس",AL28+2,IF(T28="درست ولی کند و مردد",AL28+4,IF(T28="درست، سریع و کامل",IF(W28&gt;=2,AL28+IF(R28&lt;14,14,28),AL28+MIN(28,MAX(3,R28*2))),AN28)))))</f>
        <v>46270</v>
      </c>
      <c r="AN28" s="1423" t="n">
        <v>46270</v>
      </c>
      <c r="AO28" s="1423" t="n">
        <v>46317</v>
      </c>
    </row>
    <row r="29" ht="38" customHeight="1">
      <c r="A29" s="280" t="str">
        <v>U028</v>
      </c>
      <c r="B29" s="281" t="str">
        <v>آسیب‌شناسی روانی</v>
      </c>
      <c r="C29" s="281" t="str">
        <v>روان‌شناسی مرضی و آسیب‌شناسی</v>
      </c>
      <c r="D29" s="281" t="str">
        <v>6</v>
      </c>
      <c r="E29" s="281" t="str">
        <v>اختلالات اضطرابی</v>
      </c>
      <c r="F29" s="281" t="str">
        <v>واحد مطالعه بر اساس بازهٔ صفحه</v>
      </c>
      <c r="G29" s="281" t="str">
        <v>۳۵۱ تا ۳۵۶</v>
      </c>
      <c r="H29" s="681" t="n">
        <v>6</v>
      </c>
      <c r="I29" s="281" t="str">
        <v>۱۴۰۵/۰۶/۱۴</v>
      </c>
      <c r="J29" s="684" t="n">
        <v>25</v>
      </c>
      <c r="K29" s="281" t="str">
        <v>۱۴۰۵/۰۶/۱۴</v>
      </c>
      <c r="L29" s="281" t="str">
        <v>۱۴۰۵/۰۶/۱۵</v>
      </c>
      <c r="M29" s="281" t="str">
        <v>۱۴۰۵/۰۶/۱۷</v>
      </c>
      <c r="N29" s="281" t="str">
        <v>۱۴۰۵/۰۶/۲۱</v>
      </c>
      <c r="O29" s="281" t="str">
        <v>۱۴۰۵/۰۶/۲۸</v>
      </c>
      <c r="P29" s="281" t="str">
        <v>۱۴۰۵/۰۷/۱۱</v>
      </c>
      <c r="Q29" s="411"/>
      <c r="R29" s="687" t="n">
        <v>1</v>
      </c>
      <c r="S29" s="687"/>
      <c r="T29" s="412"/>
      <c r="U29" s="412"/>
      <c r="V29" s="412"/>
      <c r="W29" s="687" t="str">
        <v>0</v>
      </c>
      <c r="X29" s="412" t="str">
        <v>خیر</v>
      </c>
      <c r="Y29" s="413" t="str">
        <v>خیر</v>
      </c>
      <c r="Z29" s="430" t="str">
        <f>IF(AM29="","",IF(AM29&gt;AO29,"تثبیت نهایی",IFERROR(INDEX('برنامه خرد'!$A$2:$A$82,MATCH(AM29,'برنامه خرد'!$I$2:$I$82,0)),"تثبیت نهایی")))</f>
        <v>۱۴۰۵/۰۶/۱۵</v>
      </c>
      <c r="AA29" s="431" t="str">
        <v>۱۴۰۵/۰۶/۱۵</v>
      </c>
      <c r="AB29" s="690" t="n">
        <f>IF(AM29="","",AM29-AN29)</f>
        <v>0</v>
      </c>
      <c r="AC29" s="431" t="str">
        <f>IF(AM29="","فاقد داده",IF(AM29&gt;AO29,"انتقال به تثبیت نهایی",IF(AM29&lt;TODAY(),"عقب‌افتاده",IF(AM29=TODAY(),"سررسید امروز","آینده"))))</f>
        <v>آینده</v>
      </c>
      <c r="AD29" s="432" t="str">
        <f>IF(OR(AM29&gt;AO29,Z29="تثبیت نهایی"),"بله","خیر")</f>
        <v>خیر</v>
      </c>
      <c r="AE29" s="436" t="str">
        <v>این فرمول فقط تاریخ پیشنهادی را محاسبه می‌کند و ردیف‌های برنامهٔ روزانه را خودکار جابه‌جا نمی‌کند.</v>
      </c>
      <c r="AF29" s="1423" t="n">
        <v>46270</v>
      </c>
      <c r="AG29" s="1423" t="n">
        <v>46271</v>
      </c>
      <c r="AH29" s="1423" t="n">
        <v>46273</v>
      </c>
      <c r="AI29" s="1423" t="n">
        <v>46277</v>
      </c>
      <c r="AJ29" s="1423" t="n">
        <v>46284</v>
      </c>
      <c r="AK29" s="1423" t="n">
        <v>46298</v>
      </c>
      <c r="AL29" s="1423" t="str">
        <f>IFERROR(INDEX('برنامه خرد'!$I$2:$I$82,MATCH(Q29,'برنامه خرد'!$A$2:$A$82,0)),"")</f>
      </c>
      <c r="AM29" s="1423" t="n">
        <f>IF(AL29="",AN29,IF(T29="غلط یا کمتر از ۵۰٪",AL29+1,IF(T29="ناقص یا همراه با حدس",AL29+2,IF(T29="درست ولی کند و مردد",AL29+4,IF(T29="درست، سریع و کامل",IF(W29&gt;=2,AL29+IF(R29&lt;14,14,28),AL29+MIN(28,MAX(3,R29*2))),AN29)))))</f>
        <v>46271</v>
      </c>
      <c r="AN29" s="1423" t="n">
        <v>46271</v>
      </c>
      <c r="AO29" s="1423" t="n">
        <v>46317</v>
      </c>
    </row>
    <row r="30" ht="38" customHeight="1">
      <c r="A30" s="366" t="str">
        <v>U029</v>
      </c>
      <c r="B30" s="367" t="str">
        <v>آسیب‌شناسی روانی</v>
      </c>
      <c r="C30" s="367" t="str">
        <v>روان‌شناسی مرضی و آسیب‌شناسی</v>
      </c>
      <c r="D30" s="367" t="str">
        <v>7</v>
      </c>
      <c r="E30" s="367" t="str">
        <v>وسواس فکری ـ عملی و اختلالات مرتبط</v>
      </c>
      <c r="F30" s="367" t="str">
        <v>واحد مطالعه بر اساس بازهٔ صفحه</v>
      </c>
      <c r="G30" s="367" t="str">
        <v>۳۵۷ تا ۳۶۲</v>
      </c>
      <c r="H30" s="680" t="n">
        <v>6</v>
      </c>
      <c r="I30" s="367" t="str">
        <v>۱۴۰۵/۰۶/۱۵</v>
      </c>
      <c r="J30" s="683" t="n">
        <v>25</v>
      </c>
      <c r="K30" s="367" t="str">
        <v>۱۴۰۵/۰۶/۱۵</v>
      </c>
      <c r="L30" s="367" t="str">
        <v>۱۴۰۵/۰۶/۱۶</v>
      </c>
      <c r="M30" s="367" t="str">
        <v>۱۴۰۵/۰۶/۱۸</v>
      </c>
      <c r="N30" s="367" t="str">
        <v>۱۴۰۵/۰۶/۲۲</v>
      </c>
      <c r="O30" s="367" t="str">
        <v>۱۴۰۵/۰۶/۲۹</v>
      </c>
      <c r="P30" s="367" t="str">
        <v>۱۴۰۵/۰۷/۱۲</v>
      </c>
      <c r="Q30" s="411"/>
      <c r="R30" s="687" t="n">
        <v>1</v>
      </c>
      <c r="S30" s="687"/>
      <c r="T30" s="412"/>
      <c r="U30" s="412"/>
      <c r="V30" s="412"/>
      <c r="W30" s="687" t="str">
        <v>0</v>
      </c>
      <c r="X30" s="412" t="str">
        <v>خیر</v>
      </c>
      <c r="Y30" s="413" t="str">
        <v>خیر</v>
      </c>
      <c r="Z30" s="430" t="str">
        <f>IF(AM30="","",IF(AM30&gt;AO30,"تثبیت نهایی",IFERROR(INDEX('برنامه خرد'!$A$2:$A$82,MATCH(AM30,'برنامه خرد'!$I$2:$I$82,0)),"تثبیت نهایی")))</f>
        <v>۱۴۰۵/۰۶/۱۶</v>
      </c>
      <c r="AA30" s="431" t="str">
        <v>۱۴۰۵/۰۶/۱۶</v>
      </c>
      <c r="AB30" s="690" t="n">
        <f>IF(AM30="","",AM30-AN30)</f>
        <v>0</v>
      </c>
      <c r="AC30" s="431" t="str">
        <f>IF(AM30="","فاقد داده",IF(AM30&gt;AO30,"انتقال به تثبیت نهایی",IF(AM30&lt;TODAY(),"عقب‌افتاده",IF(AM30=TODAY(),"سررسید امروز","آینده"))))</f>
        <v>آینده</v>
      </c>
      <c r="AD30" s="432" t="str">
        <f>IF(OR(AM30&gt;AO30,Z30="تثبیت نهایی"),"بله","خیر")</f>
        <v>خیر</v>
      </c>
      <c r="AE30" s="436" t="str">
        <v>این فرمول فقط تاریخ پیشنهادی را محاسبه می‌کند و ردیف‌های برنامهٔ روزانه را خودکار جابه‌جا نمی‌کند.</v>
      </c>
      <c r="AF30" s="1423" t="n">
        <v>46271</v>
      </c>
      <c r="AG30" s="1423" t="n">
        <v>46272</v>
      </c>
      <c r="AH30" s="1423" t="n">
        <v>46274</v>
      </c>
      <c r="AI30" s="1423" t="n">
        <v>46278</v>
      </c>
      <c r="AJ30" s="1423" t="n">
        <v>46285</v>
      </c>
      <c r="AK30" s="1423" t="n">
        <v>46299</v>
      </c>
      <c r="AL30" s="1423" t="str">
        <f>IFERROR(INDEX('برنامه خرد'!$I$2:$I$82,MATCH(Q30,'برنامه خرد'!$A$2:$A$82,0)),"")</f>
      </c>
      <c r="AM30" s="1423" t="n">
        <f>IF(AL30="",AN30,IF(T30="غلط یا کمتر از ۵۰٪",AL30+1,IF(T30="ناقص یا همراه با حدس",AL30+2,IF(T30="درست ولی کند و مردد",AL30+4,IF(T30="درست، سریع و کامل",IF(W30&gt;=2,AL30+IF(R30&lt;14,14,28),AL30+MIN(28,MAX(3,R30*2))),AN30)))))</f>
        <v>46272</v>
      </c>
      <c r="AN30" s="1423" t="n">
        <v>46272</v>
      </c>
      <c r="AO30" s="1423" t="n">
        <v>46317</v>
      </c>
    </row>
    <row r="31" ht="38" customHeight="1">
      <c r="A31" s="280" t="str">
        <v>U030</v>
      </c>
      <c r="B31" s="281" t="str">
        <v>آسیب‌شناسی روانی</v>
      </c>
      <c r="C31" s="281" t="str">
        <v>روان‌شناسی مرضی و آسیب‌شناسی</v>
      </c>
      <c r="D31" s="281" t="str">
        <v>7</v>
      </c>
      <c r="E31" s="281" t="str">
        <v>وسواس فکری ـ عملی و اختلالات مرتبط</v>
      </c>
      <c r="F31" s="281" t="str">
        <v>واحد مطالعه بر اساس بازهٔ صفحه</v>
      </c>
      <c r="G31" s="281" t="str">
        <v>۳۶۳ تا ۳۶۸</v>
      </c>
      <c r="H31" s="681" t="n">
        <v>6</v>
      </c>
      <c r="I31" s="281" t="str">
        <v>۱۴۰۵/۰۶/۱۶</v>
      </c>
      <c r="J31" s="684" t="n">
        <v>25</v>
      </c>
      <c r="K31" s="281" t="str">
        <v>۱۴۰۵/۰۶/۱۶</v>
      </c>
      <c r="L31" s="281" t="str">
        <v>۱۴۰۵/۰۶/۱۷</v>
      </c>
      <c r="M31" s="281" t="str">
        <v>۱۴۰۵/۰۶/۱۹</v>
      </c>
      <c r="N31" s="281" t="str">
        <v>۱۴۰۵/۰۶/۲۳</v>
      </c>
      <c r="O31" s="281" t="str">
        <v>۱۴۰۵/۰۶/۳۰</v>
      </c>
      <c r="P31" s="281" t="str">
        <v>۱۴۰۵/۰۷/۱۳</v>
      </c>
      <c r="Q31" s="411"/>
      <c r="R31" s="687" t="n">
        <v>1</v>
      </c>
      <c r="S31" s="687"/>
      <c r="T31" s="412"/>
      <c r="U31" s="412"/>
      <c r="V31" s="412"/>
      <c r="W31" s="687" t="str">
        <v>0</v>
      </c>
      <c r="X31" s="412" t="str">
        <v>خیر</v>
      </c>
      <c r="Y31" s="413" t="str">
        <v>خیر</v>
      </c>
      <c r="Z31" s="430" t="str">
        <f>IF(AM31="","",IF(AM31&gt;AO31,"تثبیت نهایی",IFERROR(INDEX('برنامه خرد'!$A$2:$A$82,MATCH(AM31,'برنامه خرد'!$I$2:$I$82,0)),"تثبیت نهایی")))</f>
        <v>۱۴۰۵/۰۶/۱۷</v>
      </c>
      <c r="AA31" s="431" t="str">
        <v>۱۴۰۵/۰۶/۱۷</v>
      </c>
      <c r="AB31" s="690" t="n">
        <f>IF(AM31="","",AM31-AN31)</f>
        <v>0</v>
      </c>
      <c r="AC31" s="431" t="str">
        <f>IF(AM31="","فاقد داده",IF(AM31&gt;AO31,"انتقال به تثبیت نهایی",IF(AM31&lt;TODAY(),"عقب‌افتاده",IF(AM31=TODAY(),"سررسید امروز","آینده"))))</f>
        <v>آینده</v>
      </c>
      <c r="AD31" s="432" t="str">
        <f>IF(OR(AM31&gt;AO31,Z31="تثبیت نهایی"),"بله","خیر")</f>
        <v>خیر</v>
      </c>
      <c r="AE31" s="436" t="str">
        <v>این فرمول فقط تاریخ پیشنهادی را محاسبه می‌کند و ردیف‌های برنامهٔ روزانه را خودکار جابه‌جا نمی‌کند.</v>
      </c>
      <c r="AF31" s="1423" t="n">
        <v>46272</v>
      </c>
      <c r="AG31" s="1423" t="n">
        <v>46273</v>
      </c>
      <c r="AH31" s="1423" t="n">
        <v>46275</v>
      </c>
      <c r="AI31" s="1423" t="n">
        <v>46279</v>
      </c>
      <c r="AJ31" s="1423" t="n">
        <v>46286</v>
      </c>
      <c r="AK31" s="1423" t="n">
        <v>46300</v>
      </c>
      <c r="AL31" s="1423" t="str">
        <f>IFERROR(INDEX('برنامه خرد'!$I$2:$I$82,MATCH(Q31,'برنامه خرد'!$A$2:$A$82,0)),"")</f>
      </c>
      <c r="AM31" s="1423" t="n">
        <f>IF(AL31="",AN31,IF(T31="غلط یا کمتر از ۵۰٪",AL31+1,IF(T31="ناقص یا همراه با حدس",AL31+2,IF(T31="درست ولی کند و مردد",AL31+4,IF(T31="درست، سریع و کامل",IF(W31&gt;=2,AL31+IF(R31&lt;14,14,28),AL31+MIN(28,MAX(3,R31*2))),AN31)))))</f>
        <v>46273</v>
      </c>
      <c r="AN31" s="1423" t="n">
        <v>46273</v>
      </c>
      <c r="AO31" s="1423" t="n">
        <v>46317</v>
      </c>
    </row>
    <row r="32" ht="38" customHeight="1">
      <c r="A32" s="366" t="str">
        <v>U031</v>
      </c>
      <c r="B32" s="367" t="str">
        <v>آسیب‌شناسی روانی</v>
      </c>
      <c r="C32" s="367" t="str">
        <v>روان‌شناسی مرضی و آسیب‌شناسی</v>
      </c>
      <c r="D32" s="367" t="str">
        <v>7</v>
      </c>
      <c r="E32" s="367" t="str">
        <v>وسواس فکری ـ عملی و اختلالات مرتبط</v>
      </c>
      <c r="F32" s="367" t="str">
        <v>واحد مطالعه بر اساس بازهٔ صفحه</v>
      </c>
      <c r="G32" s="367" t="str">
        <v>۳۶۹ تا ۳۸۶</v>
      </c>
      <c r="H32" s="680" t="n">
        <v>18</v>
      </c>
      <c r="I32" s="367" t="str">
        <v>۱۴۰۵/۰۶/۱۷</v>
      </c>
      <c r="J32" s="683" t="n">
        <v>78.3</v>
      </c>
      <c r="K32" s="367" t="str">
        <v>۱۴۰۵/۰۶/۱۷</v>
      </c>
      <c r="L32" s="367" t="str">
        <v>۱۴۰۵/۰۶/۱۸</v>
      </c>
      <c r="M32" s="367" t="str">
        <v>۱۴۰۵/۰۶/۲۰</v>
      </c>
      <c r="N32" s="367" t="str">
        <v>۱۴۰۵/۰۶/۲۴</v>
      </c>
      <c r="O32" s="367" t="str">
        <v>۱۴۰۵/۰۶/۳۱</v>
      </c>
      <c r="P32" s="367" t="str">
        <v>۱۴۰۵/۰۷/۱۴</v>
      </c>
      <c r="Q32" s="411"/>
      <c r="R32" s="687" t="n">
        <v>1</v>
      </c>
      <c r="S32" s="687"/>
      <c r="T32" s="412"/>
      <c r="U32" s="412"/>
      <c r="V32" s="412"/>
      <c r="W32" s="687" t="str">
        <v>0</v>
      </c>
      <c r="X32" s="412" t="str">
        <v>خیر</v>
      </c>
      <c r="Y32" s="413" t="str">
        <v>خیر</v>
      </c>
      <c r="Z32" s="430" t="str">
        <f>IF(AM32="","",IF(AM32&gt;AO32,"تثبیت نهایی",IFERROR(INDEX('برنامه خرد'!$A$2:$A$82,MATCH(AM32,'برنامه خرد'!$I$2:$I$82,0)),"تثبیت نهایی")))</f>
        <v>۱۴۰۵/۰۶/۱۹</v>
      </c>
      <c r="AA32" s="431" t="str">
        <v>۱۴۰۵/۰۶/۱۹</v>
      </c>
      <c r="AB32" s="690" t="n">
        <f>IF(AM32="","",AM32-AN32)</f>
        <v>0</v>
      </c>
      <c r="AC32" s="431" t="str">
        <f>IF(AM32="","فاقد داده",IF(AM32&gt;AO32,"انتقال به تثبیت نهایی",IF(AM32&lt;TODAY(),"عقب‌افتاده",IF(AM32=TODAY(),"سررسید امروز","آینده"))))</f>
        <v>آینده</v>
      </c>
      <c r="AD32" s="432" t="str">
        <f>IF(OR(AM32&gt;AO32,Z32="تثبیت نهایی"),"بله","خیر")</f>
        <v>خیر</v>
      </c>
      <c r="AE32" s="436" t="str">
        <v>این فرمول فقط تاریخ پیشنهادی را محاسبه می‌کند و ردیف‌های برنامهٔ روزانه را خودکار جابه‌جا نمی‌کند.</v>
      </c>
      <c r="AF32" s="1423" t="n">
        <v>46273</v>
      </c>
      <c r="AG32" s="1423" t="n">
        <v>46274</v>
      </c>
      <c r="AH32" s="1423" t="n">
        <v>46276</v>
      </c>
      <c r="AI32" s="1423" t="n">
        <v>46280</v>
      </c>
      <c r="AJ32" s="1423" t="n">
        <v>46287</v>
      </c>
      <c r="AK32" s="1423" t="n">
        <v>46301</v>
      </c>
      <c r="AL32" s="1423" t="str">
        <f>IFERROR(INDEX('برنامه خرد'!$I$2:$I$82,MATCH(Q32,'برنامه خرد'!$A$2:$A$82,0)),"")</f>
      </c>
      <c r="AM32" s="1423" t="n">
        <f>IF(AL32="",AN32,IF(T32="غلط یا کمتر از ۵۰٪",AL32+1,IF(T32="ناقص یا همراه با حدس",AL32+2,IF(T32="درست ولی کند و مردد",AL32+4,IF(T32="درست، سریع و کامل",IF(W32&gt;=2,AL32+IF(R32&lt;14,14,28),AL32+MIN(28,MAX(3,R32*2))),AN32)))))</f>
        <v>46275</v>
      </c>
      <c r="AN32" s="1423" t="n">
        <v>46275</v>
      </c>
      <c r="AO32" s="1423" t="n">
        <v>46317</v>
      </c>
    </row>
    <row r="33" ht="38" customHeight="1">
      <c r="A33" s="280" t="str">
        <v>U032</v>
      </c>
      <c r="B33" s="281" t="str">
        <v>آسیب‌شناسی روانی</v>
      </c>
      <c r="C33" s="281" t="str">
        <v>روان‌شناسی مرضی و آسیب‌شناسی</v>
      </c>
      <c r="D33" s="281" t="str">
        <v>8</v>
      </c>
      <c r="E33" s="281" t="str">
        <v>اختلالات ناشی از تروما و عوامل استرس‌زا</v>
      </c>
      <c r="F33" s="281" t="str">
        <v>واحد مطالعه بر اساس بازهٔ صفحه</v>
      </c>
      <c r="G33" s="281" t="str">
        <v>۳۸۷ تا ۳۸۸</v>
      </c>
      <c r="H33" s="681" t="n">
        <v>2</v>
      </c>
      <c r="I33" s="281" t="str">
        <v>۱۴۰۵/۰۶/۱۷</v>
      </c>
      <c r="J33" s="684" t="n">
        <v>8.7</v>
      </c>
      <c r="K33" s="281" t="str">
        <v>۱۴۰۵/۰۶/۱۷</v>
      </c>
      <c r="L33" s="281" t="str">
        <v>۱۴۰۵/۰۶/۱۸</v>
      </c>
      <c r="M33" s="281" t="str">
        <v>۱۴۰۵/۰۶/۲۰</v>
      </c>
      <c r="N33" s="281" t="str">
        <v>۱۴۰۵/۰۶/۲۴</v>
      </c>
      <c r="O33" s="281" t="str">
        <v>۱۴۰۵/۰۶/۳۱</v>
      </c>
      <c r="P33" s="281" t="str">
        <v>۱۴۰۵/۰۷/۱۴</v>
      </c>
      <c r="Q33" s="411"/>
      <c r="R33" s="687" t="n">
        <v>1</v>
      </c>
      <c r="S33" s="687"/>
      <c r="T33" s="412"/>
      <c r="U33" s="412"/>
      <c r="V33" s="412"/>
      <c r="W33" s="687" t="str">
        <v>0</v>
      </c>
      <c r="X33" s="412" t="str">
        <v>خیر</v>
      </c>
      <c r="Y33" s="413" t="str">
        <v>خیر</v>
      </c>
      <c r="Z33" s="430" t="str">
        <f>IF(AM33="","",IF(AM33&gt;AO33,"تثبیت نهایی",IFERROR(INDEX('برنامه خرد'!$A$2:$A$82,MATCH(AM33,'برنامه خرد'!$I$2:$I$82,0)),"تثبیت نهایی")))</f>
        <v>۱۴۰۵/۰۶/۱۹</v>
      </c>
      <c r="AA33" s="431" t="str">
        <v>۱۴۰۵/۰۶/۱۹</v>
      </c>
      <c r="AB33" s="690" t="n">
        <f>IF(AM33="","",AM33-AN33)</f>
        <v>0</v>
      </c>
      <c r="AC33" s="431" t="str">
        <f>IF(AM33="","فاقد داده",IF(AM33&gt;AO33,"انتقال به تثبیت نهایی",IF(AM33&lt;TODAY(),"عقب‌افتاده",IF(AM33=TODAY(),"سررسید امروز","آینده"))))</f>
        <v>آینده</v>
      </c>
      <c r="AD33" s="432" t="str">
        <f>IF(OR(AM33&gt;AO33,Z33="تثبیت نهایی"),"بله","خیر")</f>
        <v>خیر</v>
      </c>
      <c r="AE33" s="436" t="str">
        <v>این فرمول فقط تاریخ پیشنهادی را محاسبه می‌کند و ردیف‌های برنامهٔ روزانه را خودکار جابه‌جا نمی‌کند.</v>
      </c>
      <c r="AF33" s="1423" t="n">
        <v>46273</v>
      </c>
      <c r="AG33" s="1423" t="n">
        <v>46274</v>
      </c>
      <c r="AH33" s="1423" t="n">
        <v>46276</v>
      </c>
      <c r="AI33" s="1423" t="n">
        <v>46280</v>
      </c>
      <c r="AJ33" s="1423" t="n">
        <v>46287</v>
      </c>
      <c r="AK33" s="1423" t="n">
        <v>46301</v>
      </c>
      <c r="AL33" s="1423" t="str">
        <f>IFERROR(INDEX('برنامه خرد'!$I$2:$I$82,MATCH(Q33,'برنامه خرد'!$A$2:$A$82,0)),"")</f>
      </c>
      <c r="AM33" s="1423" t="n">
        <f>IF(AL33="",AN33,IF(T33="غلط یا کمتر از ۵۰٪",AL33+1,IF(T33="ناقص یا همراه با حدس",AL33+2,IF(T33="درست ولی کند و مردد",AL33+4,IF(T33="درست، سریع و کامل",IF(W33&gt;=2,AL33+IF(R33&lt;14,14,28),AL33+MIN(28,MAX(3,R33*2))),AN33)))))</f>
        <v>46275</v>
      </c>
      <c r="AN33" s="1423" t="n">
        <v>46275</v>
      </c>
      <c r="AO33" s="1423" t="n">
        <v>46317</v>
      </c>
    </row>
    <row r="34" ht="38" customHeight="1">
      <c r="A34" s="366" t="str">
        <v>U033</v>
      </c>
      <c r="B34" s="367" t="str">
        <v>آسیب‌شناسی روانی</v>
      </c>
      <c r="C34" s="367" t="str">
        <v>روان‌شناسی مرضی و آسیب‌شناسی</v>
      </c>
      <c r="D34" s="367" t="str">
        <v>8</v>
      </c>
      <c r="E34" s="367" t="str">
        <v>اختلالات ناشی از تروما و عوامل استرس‌زا</v>
      </c>
      <c r="F34" s="367" t="str">
        <v>واحد مطالعه بر اساس بازهٔ صفحه</v>
      </c>
      <c r="G34" s="367" t="str">
        <v>۳۸۹ تا ۴۰۸</v>
      </c>
      <c r="H34" s="680" t="n">
        <v>20</v>
      </c>
      <c r="I34" s="367" t="str">
        <v>۱۴۰۵/۰۶/۱۹</v>
      </c>
      <c r="J34" s="683" t="n">
        <v>87</v>
      </c>
      <c r="K34" s="367" t="str">
        <v>۱۴۰۵/۰۶/۱۹</v>
      </c>
      <c r="L34" s="367" t="str">
        <v>۱۴۰۵/۰۶/۲۰</v>
      </c>
      <c r="M34" s="367" t="str">
        <v>۱۴۰۵/۰۶/۲۲</v>
      </c>
      <c r="N34" s="367" t="str">
        <v>۱۴۰۵/۰۶/۲۶</v>
      </c>
      <c r="O34" s="367" t="str">
        <v>۱۴۰۵/۰۷/۰۲</v>
      </c>
      <c r="P34" s="367" t="str">
        <v>۱۴۰۵/۰۷/۱۶</v>
      </c>
      <c r="Q34" s="411"/>
      <c r="R34" s="687" t="n">
        <v>1</v>
      </c>
      <c r="S34" s="687"/>
      <c r="T34" s="412"/>
      <c r="U34" s="412"/>
      <c r="V34" s="412"/>
      <c r="W34" s="687" t="str">
        <v>0</v>
      </c>
      <c r="X34" s="412" t="str">
        <v>خیر</v>
      </c>
      <c r="Y34" s="413" t="str">
        <v>خیر</v>
      </c>
      <c r="Z34" s="430" t="str">
        <f>IF(AM34="","",IF(AM34&gt;AO34,"تثبیت نهایی",IFERROR(INDEX('برنامه خرد'!$A$2:$A$82,MATCH(AM34,'برنامه خرد'!$I$2:$I$82,0)),"تثبیت نهایی")))</f>
        <v>۱۴۰۵/۰۶/۲۱</v>
      </c>
      <c r="AA34" s="431" t="str">
        <v>۱۴۰۵/۰۶/۲۱</v>
      </c>
      <c r="AB34" s="690" t="n">
        <f>IF(AM34="","",AM34-AN34)</f>
        <v>0</v>
      </c>
      <c r="AC34" s="431" t="str">
        <f>IF(AM34="","فاقد داده",IF(AM34&gt;AO34,"انتقال به تثبیت نهایی",IF(AM34&lt;TODAY(),"عقب‌افتاده",IF(AM34=TODAY(),"سررسید امروز","آینده"))))</f>
        <v>آینده</v>
      </c>
      <c r="AD34" s="432" t="str">
        <f>IF(OR(AM34&gt;AO34,Z34="تثبیت نهایی"),"بله","خیر")</f>
        <v>خیر</v>
      </c>
      <c r="AE34" s="436" t="str">
        <v>این فرمول فقط تاریخ پیشنهادی را محاسبه می‌کند و ردیف‌های برنامهٔ روزانه را خودکار جابه‌جا نمی‌کند.</v>
      </c>
      <c r="AF34" s="1423" t="n">
        <v>46275</v>
      </c>
      <c r="AG34" s="1423" t="n">
        <v>46276</v>
      </c>
      <c r="AH34" s="1423" t="n">
        <v>46278</v>
      </c>
      <c r="AI34" s="1423" t="n">
        <v>46282</v>
      </c>
      <c r="AJ34" s="1423" t="n">
        <v>46289</v>
      </c>
      <c r="AK34" s="1423" t="n">
        <v>46303</v>
      </c>
      <c r="AL34" s="1423" t="str">
        <f>IFERROR(INDEX('برنامه خرد'!$I$2:$I$82,MATCH(Q34,'برنامه خرد'!$A$2:$A$82,0)),"")</f>
      </c>
      <c r="AM34" s="1423" t="n">
        <f>IF(AL34="",AN34,IF(T34="غلط یا کمتر از ۵۰٪",AL34+1,IF(T34="ناقص یا همراه با حدس",AL34+2,IF(T34="درست ولی کند و مردد",AL34+4,IF(T34="درست، سریع و کامل",IF(W34&gt;=2,AL34+IF(R34&lt;14,14,28),AL34+MIN(28,MAX(3,R34*2))),AN34)))))</f>
        <v>46277</v>
      </c>
      <c r="AN34" s="1423" t="n">
        <v>46277</v>
      </c>
      <c r="AO34" s="1423" t="n">
        <v>46317</v>
      </c>
    </row>
    <row r="35" ht="38" customHeight="1">
      <c r="A35" s="280" t="str">
        <v>U034</v>
      </c>
      <c r="B35" s="281" t="str">
        <v>آسیب‌شناسی روانی</v>
      </c>
      <c r="C35" s="281" t="str">
        <v>روان‌شناسی مرضی و آسیب‌شناسی</v>
      </c>
      <c r="D35" s="281" t="str">
        <v>8</v>
      </c>
      <c r="E35" s="281" t="str">
        <v>اختلالات ناشی از تروما و عوامل استرس‌زا</v>
      </c>
      <c r="F35" s="281" t="str">
        <v>واحد مطالعه بر اساس بازهٔ صفحه</v>
      </c>
      <c r="G35" s="281" t="str">
        <v>۴۰۹ تا ۴۱۰</v>
      </c>
      <c r="H35" s="681" t="n">
        <v>2</v>
      </c>
      <c r="I35" s="281" t="str">
        <v>۱۴۰۵/۰۶/۲۱</v>
      </c>
      <c r="J35" s="684" t="n">
        <v>8.3</v>
      </c>
      <c r="K35" s="281" t="str">
        <v>۱۴۰۵/۰۶/۲۱</v>
      </c>
      <c r="L35" s="281" t="str">
        <v>۱۴۰۵/۰۶/۲۲</v>
      </c>
      <c r="M35" s="281" t="str">
        <v>۱۴۰۵/۰۶/۲۴</v>
      </c>
      <c r="N35" s="281" t="str">
        <v>۱۴۰۵/۰۶/۲۸</v>
      </c>
      <c r="O35" s="281" t="str">
        <v>۱۴۰۵/۰۷/۰۴</v>
      </c>
      <c r="P35" s="281" t="str">
        <v>۱۴۰۵/۰۷/۱۸</v>
      </c>
      <c r="Q35" s="411"/>
      <c r="R35" s="687" t="n">
        <v>1</v>
      </c>
      <c r="S35" s="687"/>
      <c r="T35" s="412"/>
      <c r="U35" s="412"/>
      <c r="V35" s="412"/>
      <c r="W35" s="687" t="str">
        <v>0</v>
      </c>
      <c r="X35" s="412" t="str">
        <v>خیر</v>
      </c>
      <c r="Y35" s="413" t="str">
        <v>خیر</v>
      </c>
      <c r="Z35" s="430" t="str">
        <f>IF(AM35="","",IF(AM35&gt;AO35,"تثبیت نهایی",IFERROR(INDEX('برنامه خرد'!$A$2:$A$82,MATCH(AM35,'برنامه خرد'!$I$2:$I$82,0)),"تثبیت نهایی")))</f>
        <v>۱۴۰۵/۰۶/۲۲</v>
      </c>
      <c r="AA35" s="431" t="str">
        <v>۱۴۰۵/۰۶/۲۲</v>
      </c>
      <c r="AB35" s="690" t="n">
        <f>IF(AM35="","",AM35-AN35)</f>
        <v>0</v>
      </c>
      <c r="AC35" s="431" t="str">
        <f>IF(AM35="","فاقد داده",IF(AM35&gt;AO35,"انتقال به تثبیت نهایی",IF(AM35&lt;TODAY(),"عقب‌افتاده",IF(AM35=TODAY(),"سررسید امروز","آینده"))))</f>
        <v>آینده</v>
      </c>
      <c r="AD35" s="432" t="str">
        <f>IF(OR(AM35&gt;AO35,Z35="تثبیت نهایی"),"بله","خیر")</f>
        <v>خیر</v>
      </c>
      <c r="AE35" s="436" t="str">
        <v>این فرمول فقط تاریخ پیشنهادی را محاسبه می‌کند و ردیف‌های برنامهٔ روزانه را خودکار جابه‌جا نمی‌کند.</v>
      </c>
      <c r="AF35" s="1423" t="n">
        <v>46277</v>
      </c>
      <c r="AG35" s="1423" t="n">
        <v>46278</v>
      </c>
      <c r="AH35" s="1423" t="n">
        <v>46280</v>
      </c>
      <c r="AI35" s="1423" t="n">
        <v>46284</v>
      </c>
      <c r="AJ35" s="1423" t="n">
        <v>46291</v>
      </c>
      <c r="AK35" s="1423" t="n">
        <v>46305</v>
      </c>
      <c r="AL35" s="1423" t="str">
        <f>IFERROR(INDEX('برنامه خرد'!$I$2:$I$82,MATCH(Q35,'برنامه خرد'!$A$2:$A$82,0)),"")</f>
      </c>
      <c r="AM35" s="1423" t="n">
        <f>IF(AL35="",AN35,IF(T35="غلط یا کمتر از ۵۰٪",AL35+1,IF(T35="ناقص یا همراه با حدس",AL35+2,IF(T35="درست ولی کند و مردد",AL35+4,IF(T35="درست، سریع و کامل",IF(W35&gt;=2,AL35+IF(R35&lt;14,14,28),AL35+MIN(28,MAX(3,R35*2))),AN35)))))</f>
        <v>46278</v>
      </c>
      <c r="AN35" s="1423" t="n">
        <v>46278</v>
      </c>
      <c r="AO35" s="1423" t="n">
        <v>46317</v>
      </c>
    </row>
    <row r="36" ht="38" customHeight="1">
      <c r="A36" s="366" t="str">
        <v>U035</v>
      </c>
      <c r="B36" s="367" t="str">
        <v>آسیب‌شناسی روانی</v>
      </c>
      <c r="C36" s="367" t="str">
        <v>روان‌شناسی مرضی و آسیب‌شناسی</v>
      </c>
      <c r="D36" s="367" t="str">
        <v>9</v>
      </c>
      <c r="E36" s="367" t="str">
        <v>اختلالات تجزیه‌ای</v>
      </c>
      <c r="F36" s="367" t="str">
        <v>واحد مطالعه بر اساس بازهٔ صفحه</v>
      </c>
      <c r="G36" s="367" t="str">
        <v>۴۱۱ تا ۴۱۴</v>
      </c>
      <c r="H36" s="680" t="n">
        <v>4</v>
      </c>
      <c r="I36" s="367" t="str">
        <v>۱۴۰۵/۰۶/۲۱</v>
      </c>
      <c r="J36" s="683" t="n">
        <v>16.7</v>
      </c>
      <c r="K36" s="367" t="str">
        <v>۱۴۰۵/۰۶/۲۱</v>
      </c>
      <c r="L36" s="367" t="str">
        <v>۱۴۰۵/۰۶/۲۲</v>
      </c>
      <c r="M36" s="367" t="str">
        <v>۱۴۰۵/۰۶/۲۴</v>
      </c>
      <c r="N36" s="367" t="str">
        <v>۱۴۰۵/۰۶/۲۸</v>
      </c>
      <c r="O36" s="367" t="str">
        <v>۱۴۰۵/۰۷/۰۴</v>
      </c>
      <c r="P36" s="367" t="str">
        <v>۱۴۰۵/۰۷/۱۸</v>
      </c>
      <c r="Q36" s="411"/>
      <c r="R36" s="687" t="n">
        <v>1</v>
      </c>
      <c r="S36" s="687"/>
      <c r="T36" s="412"/>
      <c r="U36" s="412"/>
      <c r="V36" s="412"/>
      <c r="W36" s="687" t="str">
        <v>0</v>
      </c>
      <c r="X36" s="412" t="str">
        <v>خیر</v>
      </c>
      <c r="Y36" s="413" t="str">
        <v>خیر</v>
      </c>
      <c r="Z36" s="430" t="str">
        <f>IF(AM36="","",IF(AM36&gt;AO36,"تثبیت نهایی",IFERROR(INDEX('برنامه خرد'!$A$2:$A$82,MATCH(AM36,'برنامه خرد'!$I$2:$I$82,0)),"تثبیت نهایی")))</f>
        <v>۱۴۰۵/۰۶/۲۲</v>
      </c>
      <c r="AA36" s="431" t="str">
        <v>۱۴۰۵/۰۶/۲۲</v>
      </c>
      <c r="AB36" s="690" t="n">
        <f>IF(AM36="","",AM36-AN36)</f>
        <v>0</v>
      </c>
      <c r="AC36" s="431" t="str">
        <f>IF(AM36="","فاقد داده",IF(AM36&gt;AO36,"انتقال به تثبیت نهایی",IF(AM36&lt;TODAY(),"عقب‌افتاده",IF(AM36=TODAY(),"سررسید امروز","آینده"))))</f>
        <v>آینده</v>
      </c>
      <c r="AD36" s="432" t="str">
        <f>IF(OR(AM36&gt;AO36,Z36="تثبیت نهایی"),"بله","خیر")</f>
        <v>خیر</v>
      </c>
      <c r="AE36" s="436" t="str">
        <v>این فرمول فقط تاریخ پیشنهادی را محاسبه می‌کند و ردیف‌های برنامهٔ روزانه را خودکار جابه‌جا نمی‌کند.</v>
      </c>
      <c r="AF36" s="1423" t="n">
        <v>46277</v>
      </c>
      <c r="AG36" s="1423" t="n">
        <v>46278</v>
      </c>
      <c r="AH36" s="1423" t="n">
        <v>46280</v>
      </c>
      <c r="AI36" s="1423" t="n">
        <v>46284</v>
      </c>
      <c r="AJ36" s="1423" t="n">
        <v>46291</v>
      </c>
      <c r="AK36" s="1423" t="n">
        <v>46305</v>
      </c>
      <c r="AL36" s="1423" t="str">
        <f>IFERROR(INDEX('برنامه خرد'!$I$2:$I$82,MATCH(Q36,'برنامه خرد'!$A$2:$A$82,0)),"")</f>
      </c>
      <c r="AM36" s="1423" t="n">
        <f>IF(AL36="",AN36,IF(T36="غلط یا کمتر از ۵۰٪",AL36+1,IF(T36="ناقص یا همراه با حدس",AL36+2,IF(T36="درست ولی کند و مردد",AL36+4,IF(T36="درست، سریع و کامل",IF(W36&gt;=2,AL36+IF(R36&lt;14,14,28),AL36+MIN(28,MAX(3,R36*2))),AN36)))))</f>
        <v>46278</v>
      </c>
      <c r="AN36" s="1423" t="n">
        <v>46278</v>
      </c>
      <c r="AO36" s="1423" t="n">
        <v>46317</v>
      </c>
    </row>
    <row r="37" ht="38" customHeight="1">
      <c r="A37" s="280" t="str">
        <v>U036</v>
      </c>
      <c r="B37" s="281" t="str">
        <v>آسیب‌شناسی روانی</v>
      </c>
      <c r="C37" s="281" t="str">
        <v>روان‌شناسی مرضی و آسیب‌شناسی</v>
      </c>
      <c r="D37" s="281" t="str">
        <v>9</v>
      </c>
      <c r="E37" s="281" t="str">
        <v>اختلالات تجزیه‌ای</v>
      </c>
      <c r="F37" s="281" t="str">
        <v>واحد مطالعه بر اساس بازهٔ صفحه</v>
      </c>
      <c r="G37" s="281" t="str">
        <v>۴۱۵ تا ۴۲۰</v>
      </c>
      <c r="H37" s="681" t="n">
        <v>6</v>
      </c>
      <c r="I37" s="281" t="str">
        <v>۱۴۰۵/۰۶/۲۲</v>
      </c>
      <c r="J37" s="684" t="n">
        <v>25</v>
      </c>
      <c r="K37" s="281" t="str">
        <v>۱۴۰۵/۰۶/۲۲</v>
      </c>
      <c r="L37" s="281" t="str">
        <v>۱۴۰۵/۰۶/۲۳</v>
      </c>
      <c r="M37" s="281" t="str">
        <v>۱۴۰۵/۰۶/۲۵</v>
      </c>
      <c r="N37" s="281" t="str">
        <v>۱۴۰۵/۰۶/۲۹</v>
      </c>
      <c r="O37" s="281" t="str">
        <v>۱۴۰۵/۰۷/۰۵</v>
      </c>
      <c r="P37" s="281" t="str">
        <v>۱۴۰۵/۰۷/۱۹</v>
      </c>
      <c r="Q37" s="411"/>
      <c r="R37" s="687" t="n">
        <v>1</v>
      </c>
      <c r="S37" s="687"/>
      <c r="T37" s="412"/>
      <c r="U37" s="412"/>
      <c r="V37" s="412"/>
      <c r="W37" s="687" t="str">
        <v>0</v>
      </c>
      <c r="X37" s="412" t="str">
        <v>خیر</v>
      </c>
      <c r="Y37" s="413" t="str">
        <v>خیر</v>
      </c>
      <c r="Z37" s="430" t="str">
        <f>IF(AM37="","",IF(AM37&gt;AO37,"تثبیت نهایی",IFERROR(INDEX('برنامه خرد'!$A$2:$A$82,MATCH(AM37,'برنامه خرد'!$I$2:$I$82,0)),"تثبیت نهایی")))</f>
        <v>۱۴۰۵/۰۶/۲۳</v>
      </c>
      <c r="AA37" s="431" t="str">
        <v>۱۴۰۵/۰۶/۲۳</v>
      </c>
      <c r="AB37" s="690" t="n">
        <f>IF(AM37="","",AM37-AN37)</f>
        <v>0</v>
      </c>
      <c r="AC37" s="431" t="str">
        <f>IF(AM37="","فاقد داده",IF(AM37&gt;AO37,"انتقال به تثبیت نهایی",IF(AM37&lt;TODAY(),"عقب‌افتاده",IF(AM37=TODAY(),"سررسید امروز","آینده"))))</f>
        <v>آینده</v>
      </c>
      <c r="AD37" s="432" t="str">
        <f>IF(OR(AM37&gt;AO37,Z37="تثبیت نهایی"),"بله","خیر")</f>
        <v>خیر</v>
      </c>
      <c r="AE37" s="436" t="str">
        <v>این فرمول فقط تاریخ پیشنهادی را محاسبه می‌کند و ردیف‌های برنامهٔ روزانه را خودکار جابه‌جا نمی‌کند.</v>
      </c>
      <c r="AF37" s="1423" t="n">
        <v>46278</v>
      </c>
      <c r="AG37" s="1423" t="n">
        <v>46279</v>
      </c>
      <c r="AH37" s="1423" t="n">
        <v>46281</v>
      </c>
      <c r="AI37" s="1423" t="n">
        <v>46285</v>
      </c>
      <c r="AJ37" s="1423" t="n">
        <v>46292</v>
      </c>
      <c r="AK37" s="1423" t="n">
        <v>46306</v>
      </c>
      <c r="AL37" s="1423" t="str">
        <f>IFERROR(INDEX('برنامه خرد'!$I$2:$I$82,MATCH(Q37,'برنامه خرد'!$A$2:$A$82,0)),"")</f>
      </c>
      <c r="AM37" s="1423" t="n">
        <f>IF(AL37="",AN37,IF(T37="غلط یا کمتر از ۵۰٪",AL37+1,IF(T37="ناقص یا همراه با حدس",AL37+2,IF(T37="درست ولی کند و مردد",AL37+4,IF(T37="درست، سریع و کامل",IF(W37&gt;=2,AL37+IF(R37&lt;14,14,28),AL37+MIN(28,MAX(3,R37*2))),AN37)))))</f>
        <v>46279</v>
      </c>
      <c r="AN37" s="1423" t="n">
        <v>46279</v>
      </c>
      <c r="AO37" s="1423" t="n">
        <v>46317</v>
      </c>
    </row>
    <row r="38" ht="38" customHeight="1">
      <c r="A38" s="366" t="str">
        <v>U037</v>
      </c>
      <c r="B38" s="367" t="str">
        <v>آسیب‌شناسی روانی</v>
      </c>
      <c r="C38" s="367" t="str">
        <v>روان‌شناسی مرضی و آسیب‌شناسی</v>
      </c>
      <c r="D38" s="367" t="str">
        <v>9</v>
      </c>
      <c r="E38" s="367" t="str">
        <v>اختلالات تجزیه‌ای</v>
      </c>
      <c r="F38" s="367" t="str">
        <v>واحد مطالعه بر اساس بازهٔ صفحه</v>
      </c>
      <c r="G38" s="367" t="str">
        <v>۴۲۱ تا ۴۳۴</v>
      </c>
      <c r="H38" s="680" t="n">
        <v>14</v>
      </c>
      <c r="I38" s="367" t="str">
        <v>۱۴۰۵/۰۶/۲۳</v>
      </c>
      <c r="J38" s="683" t="n">
        <v>60.9</v>
      </c>
      <c r="K38" s="367" t="str">
        <v>۱۴۰۵/۰۶/۲۳</v>
      </c>
      <c r="L38" s="367" t="str">
        <v>۱۴۰۵/۰۶/۲۴</v>
      </c>
      <c r="M38" s="367" t="str">
        <v>۱۴۰۵/۰۶/۲۶</v>
      </c>
      <c r="N38" s="367" t="str">
        <v>۱۴۰۵/۰۶/۳۰</v>
      </c>
      <c r="O38" s="367" t="str">
        <v>۱۴۰۵/۰۷/۰۶</v>
      </c>
      <c r="P38" s="367" t="str">
        <v>۱۴۰۵/۰۷/۲۰</v>
      </c>
      <c r="Q38" s="411"/>
      <c r="R38" s="687" t="n">
        <v>1</v>
      </c>
      <c r="S38" s="687"/>
      <c r="T38" s="412"/>
      <c r="U38" s="412"/>
      <c r="V38" s="412"/>
      <c r="W38" s="687" t="str">
        <v>0</v>
      </c>
      <c r="X38" s="412" t="str">
        <v>خیر</v>
      </c>
      <c r="Y38" s="413" t="str">
        <v>خیر</v>
      </c>
      <c r="Z38" s="430" t="str">
        <f>IF(AM38="","",IF(AM38&gt;AO38,"تثبیت نهایی",IFERROR(INDEX('برنامه خرد'!$A$2:$A$82,MATCH(AM38,'برنامه خرد'!$I$2:$I$82,0)),"تثبیت نهایی")))</f>
        <v>۱۴۰۵/۰۶/۲۵</v>
      </c>
      <c r="AA38" s="431" t="str">
        <v>۱۴۰۵/۰۶/۲۵</v>
      </c>
      <c r="AB38" s="690" t="n">
        <f>IF(AM38="","",AM38-AN38)</f>
        <v>0</v>
      </c>
      <c r="AC38" s="431" t="str">
        <f>IF(AM38="","فاقد داده",IF(AM38&gt;AO38,"انتقال به تثبیت نهایی",IF(AM38&lt;TODAY(),"عقب‌افتاده",IF(AM38=TODAY(),"سررسید امروز","آینده"))))</f>
        <v>آینده</v>
      </c>
      <c r="AD38" s="432" t="str">
        <f>IF(OR(AM38&gt;AO38,Z38="تثبیت نهایی"),"بله","خیر")</f>
        <v>خیر</v>
      </c>
      <c r="AE38" s="436" t="str">
        <v>این فرمول فقط تاریخ پیشنهادی را محاسبه می‌کند و ردیف‌های برنامهٔ روزانه را خودکار جابه‌جا نمی‌کند.</v>
      </c>
      <c r="AF38" s="1423" t="n">
        <v>46279</v>
      </c>
      <c r="AG38" s="1423" t="n">
        <v>46280</v>
      </c>
      <c r="AH38" s="1423" t="n">
        <v>46282</v>
      </c>
      <c r="AI38" s="1423" t="n">
        <v>46286</v>
      </c>
      <c r="AJ38" s="1423" t="n">
        <v>46293</v>
      </c>
      <c r="AK38" s="1423" t="n">
        <v>46307</v>
      </c>
      <c r="AL38" s="1423" t="str">
        <f>IFERROR(INDEX('برنامه خرد'!$I$2:$I$82,MATCH(Q38,'برنامه خرد'!$A$2:$A$82,0)),"")</f>
      </c>
      <c r="AM38" s="1423" t="n">
        <f>IF(AL38="",AN38,IF(T38="غلط یا کمتر از ۵۰٪",AL38+1,IF(T38="ناقص یا همراه با حدس",AL38+2,IF(T38="درست ولی کند و مردد",AL38+4,IF(T38="درست، سریع و کامل",IF(W38&gt;=2,AL38+IF(R38&lt;14,14,28),AL38+MIN(28,MAX(3,R38*2))),AN38)))))</f>
        <v>46281</v>
      </c>
      <c r="AN38" s="1423" t="n">
        <v>46281</v>
      </c>
      <c r="AO38" s="1423" t="n">
        <v>46317</v>
      </c>
    </row>
    <row r="39" ht="38" customHeight="1">
      <c r="A39" s="280" t="str">
        <v>U038</v>
      </c>
      <c r="B39" s="281" t="str">
        <v>آسیب‌شناسی روانی</v>
      </c>
      <c r="C39" s="281" t="str">
        <v>روان‌شناسی مرضی و آسیب‌شناسی</v>
      </c>
      <c r="D39" s="281" t="str">
        <v>10</v>
      </c>
      <c r="E39" s="281" t="str">
        <v>اختلالات سوماتیک سیمپتوم</v>
      </c>
      <c r="F39" s="281" t="str">
        <v>واحد مطالعه بر اساس بازهٔ صفحه</v>
      </c>
      <c r="G39" s="281" t="str">
        <v>۴۳۵ تا ۴۴۰</v>
      </c>
      <c r="H39" s="681" t="n">
        <v>6</v>
      </c>
      <c r="I39" s="281" t="str">
        <v>۱۴۰۵/۰۶/۲۳</v>
      </c>
      <c r="J39" s="684" t="n">
        <v>26.1</v>
      </c>
      <c r="K39" s="281" t="str">
        <v>۱۴۰۵/۰۶/۲۳</v>
      </c>
      <c r="L39" s="281" t="str">
        <v>۱۴۰۵/۰۶/۲۴</v>
      </c>
      <c r="M39" s="281" t="str">
        <v>۱۴۰۵/۰۶/۲۶</v>
      </c>
      <c r="N39" s="281" t="str">
        <v>۱۴۰۵/۰۶/۳۰</v>
      </c>
      <c r="O39" s="281" t="str">
        <v>۱۴۰۵/۰۷/۰۶</v>
      </c>
      <c r="P39" s="281" t="str">
        <v>۱۴۰۵/۰۷/۲۰</v>
      </c>
      <c r="Q39" s="411"/>
      <c r="R39" s="687" t="n">
        <v>1</v>
      </c>
      <c r="S39" s="687"/>
      <c r="T39" s="412"/>
      <c r="U39" s="412"/>
      <c r="V39" s="412"/>
      <c r="W39" s="687" t="str">
        <v>0</v>
      </c>
      <c r="X39" s="412" t="str">
        <v>خیر</v>
      </c>
      <c r="Y39" s="413" t="str">
        <v>خیر</v>
      </c>
      <c r="Z39" s="430" t="str">
        <f>IF(AM39="","",IF(AM39&gt;AO39,"تثبیت نهایی",IFERROR(INDEX('برنامه خرد'!$A$2:$A$82,MATCH(AM39,'برنامه خرد'!$I$2:$I$82,0)),"تثبیت نهایی")))</f>
        <v>۱۴۰۵/۰۶/۲۵</v>
      </c>
      <c r="AA39" s="431" t="str">
        <v>۱۴۰۵/۰۶/۲۵</v>
      </c>
      <c r="AB39" s="690" t="n">
        <f>IF(AM39="","",AM39-AN39)</f>
        <v>0</v>
      </c>
      <c r="AC39" s="431" t="str">
        <f>IF(AM39="","فاقد داده",IF(AM39&gt;AO39,"انتقال به تثبیت نهایی",IF(AM39&lt;TODAY(),"عقب‌افتاده",IF(AM39=TODAY(),"سررسید امروز","آینده"))))</f>
        <v>آینده</v>
      </c>
      <c r="AD39" s="432" t="str">
        <f>IF(OR(AM39&gt;AO39,Z39="تثبیت نهایی"),"بله","خیر")</f>
        <v>خیر</v>
      </c>
      <c r="AE39" s="436" t="str">
        <v>این فرمول فقط تاریخ پیشنهادی را محاسبه می‌کند و ردیف‌های برنامهٔ روزانه را خودکار جابه‌جا نمی‌کند.</v>
      </c>
      <c r="AF39" s="1423" t="n">
        <v>46279</v>
      </c>
      <c r="AG39" s="1423" t="n">
        <v>46280</v>
      </c>
      <c r="AH39" s="1423" t="n">
        <v>46282</v>
      </c>
      <c r="AI39" s="1423" t="n">
        <v>46286</v>
      </c>
      <c r="AJ39" s="1423" t="n">
        <v>46293</v>
      </c>
      <c r="AK39" s="1423" t="n">
        <v>46307</v>
      </c>
      <c r="AL39" s="1423" t="str">
        <f>IFERROR(INDEX('برنامه خرد'!$I$2:$I$82,MATCH(Q39,'برنامه خرد'!$A$2:$A$82,0)),"")</f>
      </c>
      <c r="AM39" s="1423" t="n">
        <f>IF(AL39="",AN39,IF(T39="غلط یا کمتر از ۵۰٪",AL39+1,IF(T39="ناقص یا همراه با حدس",AL39+2,IF(T39="درست ولی کند و مردد",AL39+4,IF(T39="درست، سریع و کامل",IF(W39&gt;=2,AL39+IF(R39&lt;14,14,28),AL39+MIN(28,MAX(3,R39*2))),AN39)))))</f>
        <v>46281</v>
      </c>
      <c r="AN39" s="1423" t="n">
        <v>46281</v>
      </c>
      <c r="AO39" s="1423" t="n">
        <v>46317</v>
      </c>
    </row>
    <row r="40" ht="38" customHeight="1">
      <c r="A40" s="366" t="str">
        <v>U039</v>
      </c>
      <c r="B40" s="367" t="str">
        <v>آسیب‌شناسی روانی</v>
      </c>
      <c r="C40" s="367" t="str">
        <v>روان‌شناسی مرضی و آسیب‌شناسی</v>
      </c>
      <c r="D40" s="367" t="str">
        <v>10</v>
      </c>
      <c r="E40" s="367" t="str">
        <v>اختلالات سوماتیک سیمپتوم</v>
      </c>
      <c r="F40" s="367" t="str">
        <v>واحد مطالعه بر اساس بازهٔ صفحه</v>
      </c>
      <c r="G40" s="367" t="str">
        <v>۴۴۱ تا ۴۶۰</v>
      </c>
      <c r="H40" s="680" t="n">
        <v>20</v>
      </c>
      <c r="I40" s="367" t="str">
        <v>۱۴۰۵/۰۶/۲۵</v>
      </c>
      <c r="J40" s="683" t="n">
        <v>87</v>
      </c>
      <c r="K40" s="367" t="str">
        <v>۱۴۰۵/۰۶/۲۵</v>
      </c>
      <c r="L40" s="367" t="str">
        <v>۱۴۰۵/۰۶/۲۶</v>
      </c>
      <c r="M40" s="367" t="str">
        <v>۱۴۰۵/۰۶/۲۸</v>
      </c>
      <c r="N40" s="367" t="str">
        <v>۱۴۰۵/۰۷/۰۱</v>
      </c>
      <c r="O40" s="367" t="str">
        <v>۱۴۰۵/۰۷/۰۸</v>
      </c>
      <c r="P40" s="367" t="str">
        <v>۱۴۰۵/۰۷/۲۲</v>
      </c>
      <c r="Q40" s="411"/>
      <c r="R40" s="687" t="n">
        <v>1</v>
      </c>
      <c r="S40" s="687"/>
      <c r="T40" s="412"/>
      <c r="U40" s="412"/>
      <c r="V40" s="412"/>
      <c r="W40" s="687" t="str">
        <v>0</v>
      </c>
      <c r="X40" s="412" t="str">
        <v>خیر</v>
      </c>
      <c r="Y40" s="413" t="str">
        <v>خیر</v>
      </c>
      <c r="Z40" s="430" t="str">
        <f>IF(AM40="","",IF(AM40&gt;AO40,"تثبیت نهایی",IFERROR(INDEX('برنامه خرد'!$A$2:$A$82,MATCH(AM40,'برنامه خرد'!$I$2:$I$82,0)),"تثبیت نهایی")))</f>
        <v>۱۴۰۵/۰۶/۲۵</v>
      </c>
      <c r="AA40" s="431" t="str">
        <v>۱۴۰۵/۰۶/۲۵</v>
      </c>
      <c r="AB40" s="690" t="n">
        <f>IF(AM40="","",AM40-AN40)</f>
        <v>0</v>
      </c>
      <c r="AC40" s="431" t="str">
        <f>IF(AM40="","فاقد داده",IF(AM40&gt;AO40,"انتقال به تثبیت نهایی",IF(AM40&lt;TODAY(),"عقب‌افتاده",IF(AM40=TODAY(),"سررسید امروز","آینده"))))</f>
        <v>آینده</v>
      </c>
      <c r="AD40" s="432" t="str">
        <f>IF(OR(AM40&gt;AO40,Z40="تثبیت نهایی"),"بله","خیر")</f>
        <v>خیر</v>
      </c>
      <c r="AE40" s="436" t="str">
        <v>این فرمول فقط تاریخ پیشنهادی را محاسبه می‌کند و ردیف‌های برنامهٔ روزانه را خودکار جابه‌جا نمی‌کند.</v>
      </c>
      <c r="AF40" s="1423" t="n">
        <v>46281</v>
      </c>
      <c r="AG40" s="1423" t="n">
        <v>46282</v>
      </c>
      <c r="AH40" s="1423" t="n">
        <v>46284</v>
      </c>
      <c r="AI40" s="1423" t="n">
        <v>46288</v>
      </c>
      <c r="AJ40" s="1423" t="n">
        <v>46295</v>
      </c>
      <c r="AK40" s="1423" t="n">
        <v>46309</v>
      </c>
      <c r="AL40" s="1423" t="str">
        <f>IFERROR(INDEX('برنامه خرد'!$I$2:$I$82,MATCH(Q40,'برنامه خرد'!$A$2:$A$82,0)),"")</f>
      </c>
      <c r="AM40" s="1423" t="n">
        <f>IF(AL40="",AN40,IF(T40="غلط یا کمتر از ۵۰٪",AL40+1,IF(T40="ناقص یا همراه با حدس",AL40+2,IF(T40="درست ولی کند و مردد",AL40+4,IF(T40="درست، سریع و کامل",IF(W40&gt;=2,AL40+IF(R40&lt;14,14,28),AL40+MIN(28,MAX(3,R40*2))),AN40)))))</f>
        <v>46281</v>
      </c>
      <c r="AN40" s="1423" t="n">
        <v>46281</v>
      </c>
      <c r="AO40" s="1423" t="n">
        <v>46317</v>
      </c>
    </row>
    <row r="41" ht="38" customHeight="1">
      <c r="A41" s="280" t="str">
        <v>U040</v>
      </c>
      <c r="B41" s="281" t="str">
        <v>آسیب‌شناسی روانی</v>
      </c>
      <c r="C41" s="281" t="str">
        <v>روان‌شناسی مرضی و آسیب‌شناسی</v>
      </c>
      <c r="D41" s="281" t="str">
        <v>11</v>
      </c>
      <c r="E41" s="281" t="str">
        <v>اختلالات خوردن و تغذیه</v>
      </c>
      <c r="F41" s="281" t="str">
        <v>واحد مطالعه بر اساس بازهٔ صفحه</v>
      </c>
      <c r="G41" s="281" t="str">
        <v>۴۶۱ تا ۴۸۰</v>
      </c>
      <c r="H41" s="681" t="n">
        <v>20</v>
      </c>
      <c r="I41" s="281" t="str">
        <v>۱۴۰۵/۰۶/۲۸</v>
      </c>
      <c r="J41" s="684" t="n">
        <v>87</v>
      </c>
      <c r="K41" s="281" t="str">
        <v>۱۴۰۵/۰۶/۲۸</v>
      </c>
      <c r="L41" s="281" t="str">
        <v>۱۴۰۵/۰۶/۲۹</v>
      </c>
      <c r="M41" s="281" t="str">
        <v>۱۴۰۵/۰۶/۳۱</v>
      </c>
      <c r="N41" s="281" t="str">
        <v>۱۴۰۵/۰۷/۰۴</v>
      </c>
      <c r="O41" s="281" t="str">
        <v>۱۴۰۵/۰۷/۱۱</v>
      </c>
      <c r="P41" s="281" t="str">
        <v>۱۴۰۵/۰۷/۲۵</v>
      </c>
      <c r="Q41" s="411"/>
      <c r="R41" s="687" t="n">
        <v>1</v>
      </c>
      <c r="S41" s="687"/>
      <c r="T41" s="412"/>
      <c r="U41" s="412"/>
      <c r="V41" s="412"/>
      <c r="W41" s="687" t="str">
        <v>0</v>
      </c>
      <c r="X41" s="412" t="str">
        <v>خیر</v>
      </c>
      <c r="Y41" s="413" t="str">
        <v>خیر</v>
      </c>
      <c r="Z41" s="430" t="str">
        <f>IF(AM41="","",IF(AM41&gt;AO41,"تثبیت نهایی",IFERROR(INDEX('برنامه خرد'!$A$2:$A$82,MATCH(AM41,'برنامه خرد'!$I$2:$I$82,0)),"تثبیت نهایی")))</f>
        <v>۱۴۰۵/۰۶/۳۰</v>
      </c>
      <c r="AA41" s="431" t="str">
        <v>۱۴۰۵/۰۶/۳۰</v>
      </c>
      <c r="AB41" s="690" t="n">
        <f>IF(AM41="","",AM41-AN41)</f>
        <v>0</v>
      </c>
      <c r="AC41" s="431" t="str">
        <f>IF(AM41="","فاقد داده",IF(AM41&gt;AO41,"انتقال به تثبیت نهایی",IF(AM41&lt;TODAY(),"عقب‌افتاده",IF(AM41=TODAY(),"سررسید امروز","آینده"))))</f>
        <v>آینده</v>
      </c>
      <c r="AD41" s="432" t="str">
        <f>IF(OR(AM41&gt;AO41,Z41="تثبیت نهایی"),"بله","خیر")</f>
        <v>خیر</v>
      </c>
      <c r="AE41" s="436" t="str">
        <v>این فرمول فقط تاریخ پیشنهادی را محاسبه می‌کند و ردیف‌های برنامهٔ روزانه را خودکار جابه‌جا نمی‌کند.</v>
      </c>
      <c r="AF41" s="1423" t="n">
        <v>46284</v>
      </c>
      <c r="AG41" s="1423" t="n">
        <v>46285</v>
      </c>
      <c r="AH41" s="1423" t="n">
        <v>46287</v>
      </c>
      <c r="AI41" s="1423" t="n">
        <v>46291</v>
      </c>
      <c r="AJ41" s="1423" t="n">
        <v>46298</v>
      </c>
      <c r="AK41" s="1423" t="n">
        <v>46312</v>
      </c>
      <c r="AL41" s="1423" t="str">
        <f>IFERROR(INDEX('برنامه خرد'!$I$2:$I$82,MATCH(Q41,'برنامه خرد'!$A$2:$A$82,0)),"")</f>
      </c>
      <c r="AM41" s="1423" t="n">
        <f>IF(AL41="",AN41,IF(T41="غلط یا کمتر از ۵۰٪",AL41+1,IF(T41="ناقص یا همراه با حدس",AL41+2,IF(T41="درست ولی کند و مردد",AL41+4,IF(T41="درست، سریع و کامل",IF(W41&gt;=2,AL41+IF(R41&lt;14,14,28),AL41+MIN(28,MAX(3,R41*2))),AN41)))))</f>
        <v>46286</v>
      </c>
      <c r="AN41" s="1423" t="n">
        <v>46286</v>
      </c>
      <c r="AO41" s="1423" t="n">
        <v>46317</v>
      </c>
    </row>
    <row r="42" ht="38" customHeight="1">
      <c r="A42" s="366" t="str">
        <v>U041</v>
      </c>
      <c r="B42" s="367" t="str">
        <v>آسیب‌شناسی روانی</v>
      </c>
      <c r="C42" s="367" t="str">
        <v>روان‌شناسی مرضی و آسیب‌شناسی</v>
      </c>
      <c r="D42" s="367" t="str">
        <v>12</v>
      </c>
      <c r="E42" s="367" t="str">
        <v>اختلالات دفع</v>
      </c>
      <c r="F42" s="367" t="str">
        <v>واحد مطالعه بر اساس بازهٔ صفحه</v>
      </c>
      <c r="G42" s="367" t="str">
        <v>۴۸۱ تا ۴۸۶</v>
      </c>
      <c r="H42" s="680" t="n">
        <v>6</v>
      </c>
      <c r="I42" s="367" t="str">
        <v>۱۴۰۵/۰۶/۳۰</v>
      </c>
      <c r="J42" s="683" t="n">
        <v>26.1</v>
      </c>
      <c r="K42" s="367" t="str">
        <v>۱۴۰۵/۰۶/۳۰</v>
      </c>
      <c r="L42" s="367" t="str">
        <v>۱۴۰۵/۰۶/۳۱</v>
      </c>
      <c r="M42" s="367" t="str">
        <v>۱۴۰۵/۰۷/۰۲</v>
      </c>
      <c r="N42" s="367" t="str">
        <v>۱۴۰۵/۰۷/۰۶</v>
      </c>
      <c r="O42" s="367" t="str">
        <v>۱۴۰۵/۰۷/۱۳</v>
      </c>
      <c r="P42" s="367" t="str">
        <v>۱۴۰۵/۰۷/۲۷</v>
      </c>
      <c r="Q42" s="411"/>
      <c r="R42" s="687" t="n">
        <v>1</v>
      </c>
      <c r="S42" s="687"/>
      <c r="T42" s="412"/>
      <c r="U42" s="412"/>
      <c r="V42" s="412"/>
      <c r="W42" s="687" t="str">
        <v>0</v>
      </c>
      <c r="X42" s="412" t="str">
        <v>خیر</v>
      </c>
      <c r="Y42" s="413" t="str">
        <v>خیر</v>
      </c>
      <c r="Z42" s="430" t="str">
        <f>IF(AM42="","",IF(AM42&gt;AO42,"تثبیت نهایی",IFERROR(INDEX('برنامه خرد'!$A$2:$A$82,MATCH(AM42,'برنامه خرد'!$I$2:$I$82,0)),"تثبیت نهایی")))</f>
        <v>۱۴۰۵/۰۷/۰۱</v>
      </c>
      <c r="AA42" s="431" t="str">
        <v>۱۴۰۵/۰۷/۰۱</v>
      </c>
      <c r="AB42" s="690" t="n">
        <f>IF(AM42="","",AM42-AN42)</f>
        <v>0</v>
      </c>
      <c r="AC42" s="431" t="str">
        <f>IF(AM42="","فاقد داده",IF(AM42&gt;AO42,"انتقال به تثبیت نهایی",IF(AM42&lt;TODAY(),"عقب‌افتاده",IF(AM42=TODAY(),"سررسید امروز","آینده"))))</f>
        <v>آینده</v>
      </c>
      <c r="AD42" s="432" t="str">
        <f>IF(OR(AM42&gt;AO42,Z42="تثبیت نهایی"),"بله","خیر")</f>
        <v>خیر</v>
      </c>
      <c r="AE42" s="436" t="str">
        <v>این فرمول فقط تاریخ پیشنهادی را محاسبه می‌کند و ردیف‌های برنامهٔ روزانه را خودکار جابه‌جا نمی‌کند.</v>
      </c>
      <c r="AF42" s="1423" t="n">
        <v>46286</v>
      </c>
      <c r="AG42" s="1423" t="n">
        <v>46287</v>
      </c>
      <c r="AH42" s="1423" t="n">
        <v>46289</v>
      </c>
      <c r="AI42" s="1423" t="n">
        <v>46293</v>
      </c>
      <c r="AJ42" s="1423" t="n">
        <v>46300</v>
      </c>
      <c r="AK42" s="1423" t="n">
        <v>46314</v>
      </c>
      <c r="AL42" s="1423" t="str">
        <f>IFERROR(INDEX('برنامه خرد'!$I$2:$I$82,MATCH(Q42,'برنامه خرد'!$A$2:$A$82,0)),"")</f>
      </c>
      <c r="AM42" s="1423" t="n">
        <f>IF(AL42="",AN42,IF(T42="غلط یا کمتر از ۵۰٪",AL42+1,IF(T42="ناقص یا همراه با حدس",AL42+2,IF(T42="درست ولی کند و مردد",AL42+4,IF(T42="درست، سریع و کامل",IF(W42&gt;=2,AL42+IF(R42&lt;14,14,28),AL42+MIN(28,MAX(3,R42*2))),AN42)))))</f>
        <v>46288</v>
      </c>
      <c r="AN42" s="1423" t="n">
        <v>46288</v>
      </c>
      <c r="AO42" s="1423" t="n">
        <v>46317</v>
      </c>
    </row>
    <row r="43" ht="38" customHeight="1">
      <c r="A43" s="280" t="str">
        <v>U042</v>
      </c>
      <c r="B43" s="281" t="str">
        <v>آسیب‌شناسی روانی</v>
      </c>
      <c r="C43" s="281" t="str">
        <v>روان‌شناسی مرضی و آسیب‌شناسی</v>
      </c>
      <c r="D43" s="281" t="str">
        <v>13</v>
      </c>
      <c r="E43" s="281" t="str">
        <v>اختلالات خواب و بیداری</v>
      </c>
      <c r="F43" s="281" t="str">
        <v>واحد مطالعه بر اساس بازهٔ صفحه</v>
      </c>
      <c r="G43" s="281" t="str">
        <v>۴۸۷ تا ۵۰۰</v>
      </c>
      <c r="H43" s="681" t="n">
        <v>14</v>
      </c>
      <c r="I43" s="281" t="str">
        <v>۱۴۰۵/۰۶/۳۰</v>
      </c>
      <c r="J43" s="684" t="n">
        <v>60.9</v>
      </c>
      <c r="K43" s="281" t="str">
        <v>۱۴۰۵/۰۶/۳۰</v>
      </c>
      <c r="L43" s="281" t="str">
        <v>۱۴۰۵/۰۶/۳۱</v>
      </c>
      <c r="M43" s="281" t="str">
        <v>۱۴۰۵/۰۷/۰۲</v>
      </c>
      <c r="N43" s="281" t="str">
        <v>۱۴۰۵/۰۷/۰۶</v>
      </c>
      <c r="O43" s="281" t="str">
        <v>۱۴۰۵/۰۷/۱۳</v>
      </c>
      <c r="P43" s="281" t="str">
        <v>۱۴۰۵/۰۷/۲۷</v>
      </c>
      <c r="Q43" s="411"/>
      <c r="R43" s="687" t="n">
        <v>1</v>
      </c>
      <c r="S43" s="687"/>
      <c r="T43" s="412"/>
      <c r="U43" s="412"/>
      <c r="V43" s="412"/>
      <c r="W43" s="687" t="str">
        <v>0</v>
      </c>
      <c r="X43" s="412" t="str">
        <v>خیر</v>
      </c>
      <c r="Y43" s="413" t="str">
        <v>خیر</v>
      </c>
      <c r="Z43" s="430" t="str">
        <f>IF(AM43="","",IF(AM43&gt;AO43,"تثبیت نهایی",IFERROR(INDEX('برنامه خرد'!$A$2:$A$82,MATCH(AM43,'برنامه خرد'!$I$2:$I$82,0)),"تثبیت نهایی")))</f>
        <v>۱۴۰۵/۰۷/۰۱</v>
      </c>
      <c r="AA43" s="431" t="str">
        <v>۱۴۰۵/۰۷/۰۱</v>
      </c>
      <c r="AB43" s="690" t="n">
        <f>IF(AM43="","",AM43-AN43)</f>
        <v>0</v>
      </c>
      <c r="AC43" s="431" t="str">
        <f>IF(AM43="","فاقد داده",IF(AM43&gt;AO43,"انتقال به تثبیت نهایی",IF(AM43&lt;TODAY(),"عقب‌افتاده",IF(AM43=TODAY(),"سررسید امروز","آینده"))))</f>
        <v>آینده</v>
      </c>
      <c r="AD43" s="432" t="str">
        <f>IF(OR(AM43&gt;AO43,Z43="تثبیت نهایی"),"بله","خیر")</f>
        <v>خیر</v>
      </c>
      <c r="AE43" s="436" t="str">
        <v>این فرمول فقط تاریخ پیشنهادی را محاسبه می‌کند و ردیف‌های برنامهٔ روزانه را خودکار جابه‌جا نمی‌کند.</v>
      </c>
      <c r="AF43" s="1423" t="n">
        <v>46286</v>
      </c>
      <c r="AG43" s="1423" t="n">
        <v>46287</v>
      </c>
      <c r="AH43" s="1423" t="n">
        <v>46289</v>
      </c>
      <c r="AI43" s="1423" t="n">
        <v>46293</v>
      </c>
      <c r="AJ43" s="1423" t="n">
        <v>46300</v>
      </c>
      <c r="AK43" s="1423" t="n">
        <v>46314</v>
      </c>
      <c r="AL43" s="1423" t="str">
        <f>IFERROR(INDEX('برنامه خرد'!$I$2:$I$82,MATCH(Q43,'برنامه خرد'!$A$2:$A$82,0)),"")</f>
      </c>
      <c r="AM43" s="1423" t="n">
        <f>IF(AL43="",AN43,IF(T43="غلط یا کمتر از ۵۰٪",AL43+1,IF(T43="ناقص یا همراه با حدس",AL43+2,IF(T43="درست ولی کند و مردد",AL43+4,IF(T43="درست، سریع و کامل",IF(W43&gt;=2,AL43+IF(R43&lt;14,14,28),AL43+MIN(28,MAX(3,R43*2))),AN43)))))</f>
        <v>46288</v>
      </c>
      <c r="AN43" s="1423" t="n">
        <v>46288</v>
      </c>
      <c r="AO43" s="1423" t="n">
        <v>46317</v>
      </c>
    </row>
    <row r="44" ht="38" customHeight="1">
      <c r="A44" s="366" t="str">
        <v>U043</v>
      </c>
      <c r="B44" s="367" t="str">
        <v>آسیب‌شناسی روانی</v>
      </c>
      <c r="C44" s="367" t="str">
        <v>روان‌شناسی مرضی و آسیب‌شناسی</v>
      </c>
      <c r="D44" s="367" t="str">
        <v>13</v>
      </c>
      <c r="E44" s="367" t="str">
        <v>اختلالات خواب و بیداری</v>
      </c>
      <c r="F44" s="367" t="str">
        <v>واحد مطالعه بر اساس بازهٔ صفحه</v>
      </c>
      <c r="G44" s="367" t="str">
        <v>۵۰۱ تا ۵۰۴</v>
      </c>
      <c r="H44" s="680" t="n">
        <v>4</v>
      </c>
      <c r="I44" s="367" t="str">
        <v>۱۴۰۵/۰۷/۰۱</v>
      </c>
      <c r="J44" s="683" t="n">
        <v>16.7</v>
      </c>
      <c r="K44" s="367" t="str">
        <v>۱۴۰۵/۰۷/۰۱</v>
      </c>
      <c r="L44" s="367" t="str">
        <v>۱۴۰۵/۰۷/۰۲</v>
      </c>
      <c r="M44" s="367" t="str">
        <v>۱۴۰۵/۰۷/۰۴</v>
      </c>
      <c r="N44" s="367" t="str">
        <v>۱۴۰۵/۰۷/۰۸</v>
      </c>
      <c r="O44" s="367" t="str">
        <v>۱۴۰۵/۰۷/۱۵</v>
      </c>
      <c r="P44" s="367" t="str">
        <v>۱۴۰۵/۰۷/۲۹</v>
      </c>
      <c r="Q44" s="411"/>
      <c r="R44" s="687" t="n">
        <v>1</v>
      </c>
      <c r="S44" s="687"/>
      <c r="T44" s="412"/>
      <c r="U44" s="412"/>
      <c r="V44" s="412"/>
      <c r="W44" s="687" t="str">
        <v>0</v>
      </c>
      <c r="X44" s="412" t="str">
        <v>خیر</v>
      </c>
      <c r="Y44" s="413" t="str">
        <v>خیر</v>
      </c>
      <c r="Z44" s="430" t="str">
        <f>IF(AM44="","",IF(AM44&gt;AO44,"تثبیت نهایی",IFERROR(INDEX('برنامه خرد'!$A$2:$A$82,MATCH(AM44,'برنامه خرد'!$I$2:$I$82,0)),"تثبیت نهایی")))</f>
        <v>۱۴۰۵/۰۷/۰۲</v>
      </c>
      <c r="AA44" s="431" t="str">
        <v>۱۴۰۵/۰۷/۰۲</v>
      </c>
      <c r="AB44" s="690" t="n">
        <f>IF(AM44="","",AM44-AN44)</f>
        <v>0</v>
      </c>
      <c r="AC44" s="431" t="str">
        <f>IF(AM44="","فاقد داده",IF(AM44&gt;AO44,"انتقال به تثبیت نهایی",IF(AM44&lt;TODAY(),"عقب‌افتاده",IF(AM44=TODAY(),"سررسید امروز","آینده"))))</f>
        <v>آینده</v>
      </c>
      <c r="AD44" s="432" t="str">
        <f>IF(OR(AM44&gt;AO44,Z44="تثبیت نهایی"),"بله","خیر")</f>
        <v>خیر</v>
      </c>
      <c r="AE44" s="436" t="str">
        <v>این فرمول فقط تاریخ پیشنهادی را محاسبه می‌کند و ردیف‌های برنامهٔ روزانه را خودکار جابه‌جا نمی‌کند.</v>
      </c>
      <c r="AF44" s="1423" t="n">
        <v>46288</v>
      </c>
      <c r="AG44" s="1423" t="n">
        <v>46289</v>
      </c>
      <c r="AH44" s="1423" t="n">
        <v>46291</v>
      </c>
      <c r="AI44" s="1423" t="n">
        <v>46295</v>
      </c>
      <c r="AJ44" s="1423" t="n">
        <v>46302</v>
      </c>
      <c r="AK44" s="1423" t="n">
        <v>46316</v>
      </c>
      <c r="AL44" s="1423" t="str">
        <f>IFERROR(INDEX('برنامه خرد'!$I$2:$I$82,MATCH(Q44,'برنامه خرد'!$A$2:$A$82,0)),"")</f>
      </c>
      <c r="AM44" s="1423" t="n">
        <f>IF(AL44="",AN44,IF(T44="غلط یا کمتر از ۵۰٪",AL44+1,IF(T44="ناقص یا همراه با حدس",AL44+2,IF(T44="درست ولی کند و مردد",AL44+4,IF(T44="درست، سریع و کامل",IF(W44&gt;=2,AL44+IF(R44&lt;14,14,28),AL44+MIN(28,MAX(3,R44*2))),AN44)))))</f>
        <v>46289</v>
      </c>
      <c r="AN44" s="1423" t="n">
        <v>46289</v>
      </c>
      <c r="AO44" s="1423" t="n">
        <v>46317</v>
      </c>
    </row>
    <row r="45" ht="38" customHeight="1">
      <c r="A45" s="280" t="str">
        <v>U044</v>
      </c>
      <c r="B45" s="281" t="str">
        <v>آسیب‌شناسی روانی</v>
      </c>
      <c r="C45" s="281" t="str">
        <v>روان‌شناسی مرضی و آسیب‌شناسی</v>
      </c>
      <c r="D45" s="281" t="str">
        <v>14</v>
      </c>
      <c r="E45" s="281" t="str">
        <v>اختلالات جنسی</v>
      </c>
      <c r="F45" s="281" t="str">
        <v>واحد مطالعه بر اساس بازهٔ صفحه</v>
      </c>
      <c r="G45" s="281" t="str">
        <v>۵۰۵ تا ۵۰۶</v>
      </c>
      <c r="H45" s="681" t="n">
        <v>2</v>
      </c>
      <c r="I45" s="281" t="str">
        <v>۱۴۰۵/۰۷/۰۱</v>
      </c>
      <c r="J45" s="684" t="n">
        <v>8.3</v>
      </c>
      <c r="K45" s="281" t="str">
        <v>۱۴۰۵/۰۷/۰۱</v>
      </c>
      <c r="L45" s="281" t="str">
        <v>۱۴۰۵/۰۷/۰۲</v>
      </c>
      <c r="M45" s="281" t="str">
        <v>۱۴۰۵/۰۷/۰۴</v>
      </c>
      <c r="N45" s="281" t="str">
        <v>۱۴۰۵/۰۷/۰۸</v>
      </c>
      <c r="O45" s="281" t="str">
        <v>۱۴۰۵/۰۷/۱۵</v>
      </c>
      <c r="P45" s="281" t="str">
        <v>۱۴۰۵/۰۷/۲۹</v>
      </c>
      <c r="Q45" s="411"/>
      <c r="R45" s="687" t="n">
        <v>1</v>
      </c>
      <c r="S45" s="687"/>
      <c r="T45" s="412"/>
      <c r="U45" s="412"/>
      <c r="V45" s="412"/>
      <c r="W45" s="687" t="str">
        <v>0</v>
      </c>
      <c r="X45" s="412" t="str">
        <v>خیر</v>
      </c>
      <c r="Y45" s="413" t="str">
        <v>خیر</v>
      </c>
      <c r="Z45" s="430" t="str">
        <f>IF(AM45="","",IF(AM45&gt;AO45,"تثبیت نهایی",IFERROR(INDEX('برنامه خرد'!$A$2:$A$82,MATCH(AM45,'برنامه خرد'!$I$2:$I$82,0)),"تثبیت نهایی")))</f>
        <v>۱۴۰۵/۰۷/۰۲</v>
      </c>
      <c r="AA45" s="431" t="str">
        <v>۱۴۰۵/۰۷/۰۲</v>
      </c>
      <c r="AB45" s="690" t="n">
        <f>IF(AM45="","",AM45-AN45)</f>
        <v>0</v>
      </c>
      <c r="AC45" s="431" t="str">
        <f>IF(AM45="","فاقد داده",IF(AM45&gt;AO45,"انتقال به تثبیت نهایی",IF(AM45&lt;TODAY(),"عقب‌افتاده",IF(AM45=TODAY(),"سررسید امروز","آینده"))))</f>
        <v>آینده</v>
      </c>
      <c r="AD45" s="432" t="str">
        <f>IF(OR(AM45&gt;AO45,Z45="تثبیت نهایی"),"بله","خیر")</f>
        <v>خیر</v>
      </c>
      <c r="AE45" s="436" t="str">
        <v>این فرمول فقط تاریخ پیشنهادی را محاسبه می‌کند و ردیف‌های برنامهٔ روزانه را خودکار جابه‌جا نمی‌کند.</v>
      </c>
      <c r="AF45" s="1423" t="n">
        <v>46288</v>
      </c>
      <c r="AG45" s="1423" t="n">
        <v>46289</v>
      </c>
      <c r="AH45" s="1423" t="n">
        <v>46291</v>
      </c>
      <c r="AI45" s="1423" t="n">
        <v>46295</v>
      </c>
      <c r="AJ45" s="1423" t="n">
        <v>46302</v>
      </c>
      <c r="AK45" s="1423" t="n">
        <v>46316</v>
      </c>
      <c r="AL45" s="1423" t="str">
        <f>IFERROR(INDEX('برنامه خرد'!$I$2:$I$82,MATCH(Q45,'برنامه خرد'!$A$2:$A$82,0)),"")</f>
      </c>
      <c r="AM45" s="1423" t="n">
        <f>IF(AL45="",AN45,IF(T45="غلط یا کمتر از ۵۰٪",AL45+1,IF(T45="ناقص یا همراه با حدس",AL45+2,IF(T45="درست ولی کند و مردد",AL45+4,IF(T45="درست، سریع و کامل",IF(W45&gt;=2,AL45+IF(R45&lt;14,14,28),AL45+MIN(28,MAX(3,R45*2))),AN45)))))</f>
        <v>46289</v>
      </c>
      <c r="AN45" s="1423" t="n">
        <v>46289</v>
      </c>
      <c r="AO45" s="1423" t="n">
        <v>46317</v>
      </c>
    </row>
    <row r="46" ht="38" customHeight="1">
      <c r="A46" s="366" t="str">
        <v>U045</v>
      </c>
      <c r="B46" s="367" t="str">
        <v>آسیب‌شناسی روانی</v>
      </c>
      <c r="C46" s="367" t="str">
        <v>روان‌شناسی مرضی و آسیب‌شناسی</v>
      </c>
      <c r="D46" s="367" t="str">
        <v>14</v>
      </c>
      <c r="E46" s="367" t="str">
        <v>اختلالات جنسی</v>
      </c>
      <c r="F46" s="367" t="str">
        <v>واحد مطالعه بر اساس بازهٔ صفحه</v>
      </c>
      <c r="G46" s="367" t="str">
        <v>۵۰۷ تا ۵۱۲</v>
      </c>
      <c r="H46" s="680" t="n">
        <v>6</v>
      </c>
      <c r="I46" s="367" t="str">
        <v>۱۴۰۵/۰۷/۰۲</v>
      </c>
      <c r="J46" s="683" t="n">
        <v>25</v>
      </c>
      <c r="K46" s="367" t="str">
        <v>۱۴۰۵/۰۷/۰۲</v>
      </c>
      <c r="L46" s="367" t="str">
        <v>۱۴۰۵/۰۷/۰۳</v>
      </c>
      <c r="M46" s="367" t="str">
        <v>۱۴۰۵/۰۷/۰۵</v>
      </c>
      <c r="N46" s="367" t="str">
        <v>۱۴۰۵/۰۷/۰۹</v>
      </c>
      <c r="O46" s="367" t="str">
        <v>۱۴۰۵/۰۷/۱۶</v>
      </c>
      <c r="P46" s="367" t="str">
        <v>۱۴۰۵/۰۷/۳۰</v>
      </c>
      <c r="Q46" s="411"/>
      <c r="R46" s="687" t="n">
        <v>1</v>
      </c>
      <c r="S46" s="687"/>
      <c r="T46" s="412"/>
      <c r="U46" s="412"/>
      <c r="V46" s="412"/>
      <c r="W46" s="687" t="str">
        <v>0</v>
      </c>
      <c r="X46" s="412" t="str">
        <v>خیر</v>
      </c>
      <c r="Y46" s="413" t="str">
        <v>خیر</v>
      </c>
      <c r="Z46" s="430" t="str">
        <f>IF(AM46="","",IF(AM46&gt;AO46,"تثبیت نهایی",IFERROR(INDEX('برنامه خرد'!$A$2:$A$82,MATCH(AM46,'برنامه خرد'!$I$2:$I$82,0)),"تثبیت نهایی")))</f>
        <v>۱۴۰۵/۰۷/۰۳</v>
      </c>
      <c r="AA46" s="431" t="str">
        <v>۱۴۰۵/۰۷/۰۳</v>
      </c>
      <c r="AB46" s="690" t="n">
        <f>IF(AM46="","",AM46-AN46)</f>
        <v>0</v>
      </c>
      <c r="AC46" s="431" t="str">
        <f>IF(AM46="","فاقد داده",IF(AM46&gt;AO46,"انتقال به تثبیت نهایی",IF(AM46&lt;TODAY(),"عقب‌افتاده",IF(AM46=TODAY(),"سررسید امروز","آینده"))))</f>
        <v>آینده</v>
      </c>
      <c r="AD46" s="432" t="str">
        <f>IF(OR(AM46&gt;AO46,Z46="تثبیت نهایی"),"بله","خیر")</f>
        <v>خیر</v>
      </c>
      <c r="AE46" s="436" t="str">
        <v>این فرمول فقط تاریخ پیشنهادی را محاسبه می‌کند و ردیف‌های برنامهٔ روزانه را خودکار جابه‌جا نمی‌کند.</v>
      </c>
      <c r="AF46" s="1423" t="n">
        <v>46289</v>
      </c>
      <c r="AG46" s="1423" t="n">
        <v>46290</v>
      </c>
      <c r="AH46" s="1423" t="n">
        <v>46292</v>
      </c>
      <c r="AI46" s="1423" t="n">
        <v>46296</v>
      </c>
      <c r="AJ46" s="1423" t="n">
        <v>46303</v>
      </c>
      <c r="AK46" s="1423" t="n">
        <v>46317</v>
      </c>
      <c r="AL46" s="1423" t="str">
        <f>IFERROR(INDEX('برنامه خرد'!$I$2:$I$82,MATCH(Q46,'برنامه خرد'!$A$2:$A$82,0)),"")</f>
      </c>
      <c r="AM46" s="1423" t="n">
        <f>IF(AL46="",AN46,IF(T46="غلط یا کمتر از ۵۰٪",AL46+1,IF(T46="ناقص یا همراه با حدس",AL46+2,IF(T46="درست ولی کند و مردد",AL46+4,IF(T46="درست، سریع و کامل",IF(W46&gt;=2,AL46+IF(R46&lt;14,14,28),AL46+MIN(28,MAX(3,R46*2))),AN46)))))</f>
        <v>46290</v>
      </c>
      <c r="AN46" s="1423" t="n">
        <v>46290</v>
      </c>
      <c r="AO46" s="1423" t="n">
        <v>46317</v>
      </c>
    </row>
    <row r="47" ht="38" customHeight="1">
      <c r="A47" s="280" t="str">
        <v>U046</v>
      </c>
      <c r="B47" s="281" t="str">
        <v>آسیب‌شناسی روانی</v>
      </c>
      <c r="C47" s="281" t="str">
        <v>روان‌شناسی مرضی و آسیب‌شناسی</v>
      </c>
      <c r="D47" s="281" t="str">
        <v>15</v>
      </c>
      <c r="E47" s="281" t="str">
        <v>اختلالات اخلالگرانه، کنترل تکانه و سلوک</v>
      </c>
      <c r="F47" s="281" t="str">
        <v>واحد مطالعه بر اساس بازهٔ صفحه</v>
      </c>
      <c r="G47" s="281" t="str">
        <v>۵۱۳ تا ۵۳۲</v>
      </c>
      <c r="H47" s="681" t="n">
        <v>20</v>
      </c>
      <c r="I47" s="281" t="str">
        <v>۱۴۰۵/۰۷/۰۳</v>
      </c>
      <c r="J47" s="684" t="n">
        <v>87</v>
      </c>
      <c r="K47" s="281" t="str">
        <v>۱۴۰۵/۰۷/۰۳</v>
      </c>
      <c r="L47" s="281" t="str">
        <v>۱۴۰۵/۰۷/۰۴</v>
      </c>
      <c r="M47" s="281" t="str">
        <v>۱۴۰۵/۰۷/۰۶</v>
      </c>
      <c r="N47" s="281" t="str">
        <v>۱۴۰۵/۰۷/۱۰</v>
      </c>
      <c r="O47" s="281" t="str">
        <v>۱۴۰۵/۰۷/۱۷</v>
      </c>
      <c r="P47" s="281" t="str">
        <v>تثبیت نهایی</v>
      </c>
      <c r="Q47" s="411"/>
      <c r="R47" s="687" t="n">
        <v>1</v>
      </c>
      <c r="S47" s="687"/>
      <c r="T47" s="412"/>
      <c r="U47" s="412"/>
      <c r="V47" s="412"/>
      <c r="W47" s="687" t="str">
        <v>0</v>
      </c>
      <c r="X47" s="412" t="str">
        <v>خیر</v>
      </c>
      <c r="Y47" s="413" t="str">
        <v>خیر</v>
      </c>
      <c r="Z47" s="430" t="str">
        <f>IF(AM47="","",IF(AM47&gt;AO47,"تثبیت نهایی",IFERROR(INDEX('برنامه خرد'!$A$2:$A$82,MATCH(AM47,'برنامه خرد'!$I$2:$I$82,0)),"تثبیت نهایی")))</f>
        <v>۱۴۰۵/۰۷/۰۵</v>
      </c>
      <c r="AA47" s="431" t="str">
        <v>۱۴۰۵/۰۷/۰۵</v>
      </c>
      <c r="AB47" s="690" t="n">
        <f>IF(AM47="","",AM47-AN47)</f>
        <v>0</v>
      </c>
      <c r="AC47" s="431" t="str">
        <f>IF(AM47="","فاقد داده",IF(AM47&gt;AO47,"انتقال به تثبیت نهایی",IF(AM47&lt;TODAY(),"عقب‌افتاده",IF(AM47=TODAY(),"سررسید امروز","آینده"))))</f>
        <v>آینده</v>
      </c>
      <c r="AD47" s="432" t="str">
        <f>IF(OR(AM47&gt;AO47,Z47="تثبیت نهایی"),"بله","خیر")</f>
        <v>خیر</v>
      </c>
      <c r="AE47" s="436" t="str">
        <v>این فرمول فقط تاریخ پیشنهادی را محاسبه می‌کند و ردیف‌های برنامهٔ روزانه را خودکار جابه‌جا نمی‌کند.</v>
      </c>
      <c r="AF47" s="1423" t="n">
        <v>46290</v>
      </c>
      <c r="AG47" s="1423" t="n">
        <v>46291</v>
      </c>
      <c r="AH47" s="1423" t="n">
        <v>46293</v>
      </c>
      <c r="AI47" s="1423" t="n">
        <v>46297</v>
      </c>
      <c r="AJ47" s="1423" t="n">
        <v>46304</v>
      </c>
      <c r="AK47" s="1423" t="n">
        <v>46318</v>
      </c>
      <c r="AL47" s="1423" t="str">
        <f>IFERROR(INDEX('برنامه خرد'!$I$2:$I$82,MATCH(Q47,'برنامه خرد'!$A$2:$A$82,0)),"")</f>
      </c>
      <c r="AM47" s="1423" t="n">
        <f>IF(AL47="",AN47,IF(T47="غلط یا کمتر از ۵۰٪",AL47+1,IF(T47="ناقص یا همراه با حدس",AL47+2,IF(T47="درست ولی کند و مردد",AL47+4,IF(T47="درست، سریع و کامل",IF(W47&gt;=2,AL47+IF(R47&lt;14,14,28),AL47+MIN(28,MAX(3,R47*2))),AN47)))))</f>
        <v>46292</v>
      </c>
      <c r="AN47" s="1423" t="n">
        <v>46292</v>
      </c>
      <c r="AO47" s="1423" t="n">
        <v>46317</v>
      </c>
    </row>
    <row r="48" ht="38" customHeight="1">
      <c r="A48" s="366" t="str">
        <v>U047</v>
      </c>
      <c r="B48" s="367" t="str">
        <v>آسیب‌شناسی روانی</v>
      </c>
      <c r="C48" s="367" t="str">
        <v>روان‌شناسی مرضی و آسیب‌شناسی</v>
      </c>
      <c r="D48" s="367" t="str">
        <v>15</v>
      </c>
      <c r="E48" s="367" t="str">
        <v>اختلالات اخلالگرانه، کنترل تکانه و سلوک</v>
      </c>
      <c r="F48" s="367" t="str">
        <v>واحد مطالعه بر اساس بازهٔ صفحه</v>
      </c>
      <c r="G48" s="367" t="str">
        <v>۵۳۳ تا ۵۳۸</v>
      </c>
      <c r="H48" s="680" t="n">
        <v>6</v>
      </c>
      <c r="I48" s="367" t="str">
        <v>۱۴۰۵/۰۷/۰۵</v>
      </c>
      <c r="J48" s="683" t="n">
        <v>26.1</v>
      </c>
      <c r="K48" s="367" t="str">
        <v>۱۴۰۵/۰۷/۰۵</v>
      </c>
      <c r="L48" s="367" t="str">
        <v>۱۴۰۵/۰۷/۰۶</v>
      </c>
      <c r="M48" s="367" t="str">
        <v>۱۴۰۵/۰۷/۰۸</v>
      </c>
      <c r="N48" s="367" t="str">
        <v>۱۴۰۵/۰۷/۱۲</v>
      </c>
      <c r="O48" s="367" t="str">
        <v>۱۴۰۵/۰۷/۱۹</v>
      </c>
      <c r="P48" s="367" t="str">
        <v>تثبیت نهایی</v>
      </c>
      <c r="Q48" s="411"/>
      <c r="R48" s="687" t="n">
        <v>1</v>
      </c>
      <c r="S48" s="687"/>
      <c r="T48" s="412"/>
      <c r="U48" s="412"/>
      <c r="V48" s="412"/>
      <c r="W48" s="687" t="str">
        <v>0</v>
      </c>
      <c r="X48" s="412" t="str">
        <v>خیر</v>
      </c>
      <c r="Y48" s="413" t="str">
        <v>خیر</v>
      </c>
      <c r="Z48" s="430" t="str">
        <f>IF(AM48="","",IF(AM48&gt;AO48,"تثبیت نهایی",IFERROR(INDEX('برنامه خرد'!$A$2:$A$82,MATCH(AM48,'برنامه خرد'!$I$2:$I$82,0)),"تثبیت نهایی")))</f>
        <v>۱۴۰۵/۰۷/۰۷</v>
      </c>
      <c r="AA48" s="431" t="str">
        <v>۱۴۰۵/۰۷/۰۷</v>
      </c>
      <c r="AB48" s="690" t="n">
        <f>IF(AM48="","",AM48-AN48)</f>
        <v>0</v>
      </c>
      <c r="AC48" s="431" t="str">
        <f>IF(AM48="","فاقد داده",IF(AM48&gt;AO48,"انتقال به تثبیت نهایی",IF(AM48&lt;TODAY(),"عقب‌افتاده",IF(AM48=TODAY(),"سررسید امروز","آینده"))))</f>
        <v>آینده</v>
      </c>
      <c r="AD48" s="432" t="str">
        <f>IF(OR(AM48&gt;AO48,Z48="تثبیت نهایی"),"بله","خیر")</f>
        <v>خیر</v>
      </c>
      <c r="AE48" s="436" t="str">
        <v>این فرمول فقط تاریخ پیشنهادی را محاسبه می‌کند و ردیف‌های برنامهٔ روزانه را خودکار جابه‌جا نمی‌کند.</v>
      </c>
      <c r="AF48" s="1423" t="n">
        <v>46292</v>
      </c>
      <c r="AG48" s="1423" t="n">
        <v>46293</v>
      </c>
      <c r="AH48" s="1423" t="n">
        <v>46295</v>
      </c>
      <c r="AI48" s="1423" t="n">
        <v>46299</v>
      </c>
      <c r="AJ48" s="1423" t="n">
        <v>46306</v>
      </c>
      <c r="AK48" s="1423" t="n">
        <v>46320</v>
      </c>
      <c r="AL48" s="1423" t="str">
        <f>IFERROR(INDEX('برنامه خرد'!$I$2:$I$82,MATCH(Q48,'برنامه خرد'!$A$2:$A$82,0)),"")</f>
      </c>
      <c r="AM48" s="1423" t="n">
        <f>IF(AL48="",AN48,IF(T48="غلط یا کمتر از ۵۰٪",AL48+1,IF(T48="ناقص یا همراه با حدس",AL48+2,IF(T48="درست ولی کند و مردد",AL48+4,IF(T48="درست، سریع و کامل",IF(W48&gt;=2,AL48+IF(R48&lt;14,14,28),AL48+MIN(28,MAX(3,R48*2))),AN48)))))</f>
        <v>46294</v>
      </c>
      <c r="AN48" s="1423" t="n">
        <v>46294</v>
      </c>
      <c r="AO48" s="1423" t="n">
        <v>46317</v>
      </c>
    </row>
    <row r="49" ht="38" customHeight="1">
      <c r="A49" s="280" t="str">
        <v>U048</v>
      </c>
      <c r="B49" s="281" t="str">
        <v>آسیب‌شناسی روانی</v>
      </c>
      <c r="C49" s="281" t="str">
        <v>روان‌شناسی مرضی و آسیب‌شناسی</v>
      </c>
      <c r="D49" s="281" t="str">
        <v>16</v>
      </c>
      <c r="E49" s="281" t="str">
        <v>اختلالات مرتبط با مواد و اعتیادآور</v>
      </c>
      <c r="F49" s="281" t="str">
        <v>واحد مطالعه بر اساس بازهٔ صفحه</v>
      </c>
      <c r="G49" s="281" t="str">
        <v>۵۳۹ تا ۵۵۲</v>
      </c>
      <c r="H49" s="681" t="n">
        <v>14</v>
      </c>
      <c r="I49" s="281" t="str">
        <v>۱۴۰۵/۰۷/۰۵</v>
      </c>
      <c r="J49" s="684" t="n">
        <v>60.9</v>
      </c>
      <c r="K49" s="281" t="str">
        <v>۱۴۰۵/۰۷/۰۵</v>
      </c>
      <c r="L49" s="281" t="str">
        <v>۱۴۰۵/۰۷/۰۶</v>
      </c>
      <c r="M49" s="281" t="str">
        <v>۱۴۰۵/۰۷/۰۸</v>
      </c>
      <c r="N49" s="281" t="str">
        <v>۱۴۰۵/۰۷/۱۲</v>
      </c>
      <c r="O49" s="281" t="str">
        <v>۱۴۰۵/۰۷/۱۹</v>
      </c>
      <c r="P49" s="281" t="str">
        <v>تثبیت نهایی</v>
      </c>
      <c r="Q49" s="411"/>
      <c r="R49" s="687" t="n">
        <v>1</v>
      </c>
      <c r="S49" s="687"/>
      <c r="T49" s="412"/>
      <c r="U49" s="412"/>
      <c r="V49" s="412"/>
      <c r="W49" s="687" t="str">
        <v>0</v>
      </c>
      <c r="X49" s="412" t="str">
        <v>خیر</v>
      </c>
      <c r="Y49" s="413" t="str">
        <v>خیر</v>
      </c>
      <c r="Z49" s="430" t="str">
        <f>IF(AM49="","",IF(AM49&gt;AO49,"تثبیت نهایی",IFERROR(INDEX('برنامه خرد'!$A$2:$A$82,MATCH(AM49,'برنامه خرد'!$I$2:$I$82,0)),"تثبیت نهایی")))</f>
        <v>۱۴۰۵/۰۷/۰۷</v>
      </c>
      <c r="AA49" s="431" t="str">
        <v>۱۴۰۵/۰۷/۰۷</v>
      </c>
      <c r="AB49" s="690" t="n">
        <f>IF(AM49="","",AM49-AN49)</f>
        <v>0</v>
      </c>
      <c r="AC49" s="431" t="str">
        <f>IF(AM49="","فاقد داده",IF(AM49&gt;AO49,"انتقال به تثبیت نهایی",IF(AM49&lt;TODAY(),"عقب‌افتاده",IF(AM49=TODAY(),"سررسید امروز","آینده"))))</f>
        <v>آینده</v>
      </c>
      <c r="AD49" s="432" t="str">
        <f>IF(OR(AM49&gt;AO49,Z49="تثبیت نهایی"),"بله","خیر")</f>
        <v>خیر</v>
      </c>
      <c r="AE49" s="436" t="str">
        <v>این فرمول فقط تاریخ پیشنهادی را محاسبه می‌کند و ردیف‌های برنامهٔ روزانه را خودکار جابه‌جا نمی‌کند.</v>
      </c>
      <c r="AF49" s="1423" t="n">
        <v>46292</v>
      </c>
      <c r="AG49" s="1423" t="n">
        <v>46293</v>
      </c>
      <c r="AH49" s="1423" t="n">
        <v>46295</v>
      </c>
      <c r="AI49" s="1423" t="n">
        <v>46299</v>
      </c>
      <c r="AJ49" s="1423" t="n">
        <v>46306</v>
      </c>
      <c r="AK49" s="1423" t="n">
        <v>46320</v>
      </c>
      <c r="AL49" s="1423" t="str">
        <f>IFERROR(INDEX('برنامه خرد'!$I$2:$I$82,MATCH(Q49,'برنامه خرد'!$A$2:$A$82,0)),"")</f>
      </c>
      <c r="AM49" s="1423" t="n">
        <f>IF(AL49="",AN49,IF(T49="غلط یا کمتر از ۵۰٪",AL49+1,IF(T49="ناقص یا همراه با حدس",AL49+2,IF(T49="درست ولی کند و مردد",AL49+4,IF(T49="درست، سریع و کامل",IF(W49&gt;=2,AL49+IF(R49&lt;14,14,28),AL49+MIN(28,MAX(3,R49*2))),AN49)))))</f>
        <v>46294</v>
      </c>
      <c r="AN49" s="1423" t="n">
        <v>46294</v>
      </c>
      <c r="AO49" s="1423" t="n">
        <v>46317</v>
      </c>
    </row>
    <row r="50" ht="38" customHeight="1">
      <c r="A50" s="366" t="str">
        <v>U049</v>
      </c>
      <c r="B50" s="367" t="str">
        <v>آسیب‌شناسی روانی</v>
      </c>
      <c r="C50" s="367" t="str">
        <v>روان‌شناسی مرضی و آسیب‌شناسی</v>
      </c>
      <c r="D50" s="367" t="str">
        <v>16</v>
      </c>
      <c r="E50" s="367" t="str">
        <v>اختلالات مرتبط با مواد و اعتیادآور</v>
      </c>
      <c r="F50" s="367" t="str">
        <v>واحد مطالعه بر اساس بازهٔ صفحه</v>
      </c>
      <c r="G50" s="367" t="str">
        <v>۵۵۳ تا ۵۵۴</v>
      </c>
      <c r="H50" s="680" t="n">
        <v>2</v>
      </c>
      <c r="I50" s="367" t="str">
        <v>۱۴۰۵/۰۷/۰۷</v>
      </c>
      <c r="J50" s="683" t="n">
        <v>8.3</v>
      </c>
      <c r="K50" s="367" t="str">
        <v>۱۴۰۵/۰۷/۰۷</v>
      </c>
      <c r="L50" s="367" t="str">
        <v>۱۴۰۵/۰۷/۰۸</v>
      </c>
      <c r="M50" s="367" t="str">
        <v>۱۴۰۵/۰۷/۱۰</v>
      </c>
      <c r="N50" s="367" t="str">
        <v>۱۴۰۵/۰۷/۱۴</v>
      </c>
      <c r="O50" s="367" t="str">
        <v>۱۴۰۵/۰۷/۲۱</v>
      </c>
      <c r="P50" s="367" t="str">
        <v>تثبیت نهایی</v>
      </c>
      <c r="Q50" s="411"/>
      <c r="R50" s="687" t="n">
        <v>1</v>
      </c>
      <c r="S50" s="687"/>
      <c r="T50" s="412"/>
      <c r="U50" s="412"/>
      <c r="V50" s="412"/>
      <c r="W50" s="687" t="str">
        <v>0</v>
      </c>
      <c r="X50" s="412" t="str">
        <v>خیر</v>
      </c>
      <c r="Y50" s="413" t="str">
        <v>خیر</v>
      </c>
      <c r="Z50" s="430" t="str">
        <f>IF(AM50="","",IF(AM50&gt;AO50,"تثبیت نهایی",IFERROR(INDEX('برنامه خرد'!$A$2:$A$82,MATCH(AM50,'برنامه خرد'!$I$2:$I$82,0)),"تثبیت نهایی")))</f>
        <v>۱۴۰۵/۰۷/۰۸</v>
      </c>
      <c r="AA50" s="431" t="str">
        <v>۱۴۰۵/۰۷/۰۸</v>
      </c>
      <c r="AB50" s="690" t="n">
        <f>IF(AM50="","",AM50-AN50)</f>
        <v>0</v>
      </c>
      <c r="AC50" s="431" t="str">
        <f>IF(AM50="","فاقد داده",IF(AM50&gt;AO50,"انتقال به تثبیت نهایی",IF(AM50&lt;TODAY(),"عقب‌افتاده",IF(AM50=TODAY(),"سررسید امروز","آینده"))))</f>
        <v>آینده</v>
      </c>
      <c r="AD50" s="432" t="str">
        <f>IF(OR(AM50&gt;AO50,Z50="تثبیت نهایی"),"بله","خیر")</f>
        <v>خیر</v>
      </c>
      <c r="AE50" s="436" t="str">
        <v>این فرمول فقط تاریخ پیشنهادی را محاسبه می‌کند و ردیف‌های برنامهٔ روزانه را خودکار جابه‌جا نمی‌کند.</v>
      </c>
      <c r="AF50" s="1423" t="n">
        <v>46294</v>
      </c>
      <c r="AG50" s="1423" t="n">
        <v>46295</v>
      </c>
      <c r="AH50" s="1423" t="n">
        <v>46297</v>
      </c>
      <c r="AI50" s="1423" t="n">
        <v>46301</v>
      </c>
      <c r="AJ50" s="1423" t="n">
        <v>46308</v>
      </c>
      <c r="AK50" s="1423" t="n">
        <v>46322</v>
      </c>
      <c r="AL50" s="1423" t="str">
        <f>IFERROR(INDEX('برنامه خرد'!$I$2:$I$82,MATCH(Q50,'برنامه خرد'!$A$2:$A$82,0)),"")</f>
      </c>
      <c r="AM50" s="1423" t="n">
        <f>IF(AL50="",AN50,IF(T50="غلط یا کمتر از ۵۰٪",AL50+1,IF(T50="ناقص یا همراه با حدس",AL50+2,IF(T50="درست ولی کند و مردد",AL50+4,IF(T50="درست، سریع و کامل",IF(W50&gt;=2,AL50+IF(R50&lt;14,14,28),AL50+MIN(28,MAX(3,R50*2))),AN50)))))</f>
        <v>46295</v>
      </c>
      <c r="AN50" s="1423" t="n">
        <v>46295</v>
      </c>
      <c r="AO50" s="1423" t="n">
        <v>46317</v>
      </c>
    </row>
    <row r="51" ht="38" customHeight="1">
      <c r="A51" s="280" t="str">
        <v>U050</v>
      </c>
      <c r="B51" s="281" t="str">
        <v>آسیب‌شناسی روانی</v>
      </c>
      <c r="C51" s="281" t="str">
        <v>روان‌شناسی مرضی و آسیب‌شناسی</v>
      </c>
      <c r="D51" s="281" t="str">
        <v>17</v>
      </c>
      <c r="E51" s="281" t="str">
        <v>اختلالات عصبی ـ شناختی</v>
      </c>
      <c r="F51" s="281" t="str">
        <v>واحد مطالعه بر اساس بازهٔ صفحه</v>
      </c>
      <c r="G51" s="281" t="str">
        <v>۵۵۵ تا ۵۵۸</v>
      </c>
      <c r="H51" s="681" t="n">
        <v>4</v>
      </c>
      <c r="I51" s="281" t="str">
        <v>۱۴۰۵/۰۷/۰۷</v>
      </c>
      <c r="J51" s="684" t="n">
        <v>16.7</v>
      </c>
      <c r="K51" s="281" t="str">
        <v>۱۴۰۵/۰۷/۰۷</v>
      </c>
      <c r="L51" s="281" t="str">
        <v>۱۴۰۵/۰۷/۰۸</v>
      </c>
      <c r="M51" s="281" t="str">
        <v>۱۴۰۵/۰۷/۱۰</v>
      </c>
      <c r="N51" s="281" t="str">
        <v>۱۴۰۵/۰۷/۱۴</v>
      </c>
      <c r="O51" s="281" t="str">
        <v>۱۴۰۵/۰۷/۲۱</v>
      </c>
      <c r="P51" s="281" t="str">
        <v>تثبیت نهایی</v>
      </c>
      <c r="Q51" s="411"/>
      <c r="R51" s="687" t="n">
        <v>1</v>
      </c>
      <c r="S51" s="687"/>
      <c r="T51" s="412"/>
      <c r="U51" s="412"/>
      <c r="V51" s="412"/>
      <c r="W51" s="687" t="str">
        <v>0</v>
      </c>
      <c r="X51" s="412" t="str">
        <v>خیر</v>
      </c>
      <c r="Y51" s="413" t="str">
        <v>خیر</v>
      </c>
      <c r="Z51" s="430" t="str">
        <f>IF(AM51="","",IF(AM51&gt;AO51,"تثبیت نهایی",IFERROR(INDEX('برنامه خرد'!$A$2:$A$82,MATCH(AM51,'برنامه خرد'!$I$2:$I$82,0)),"تثبیت نهایی")))</f>
        <v>۱۴۰۵/۰۷/۰۸</v>
      </c>
      <c r="AA51" s="431" t="str">
        <v>۱۴۰۵/۰۷/۰۸</v>
      </c>
      <c r="AB51" s="690" t="n">
        <f>IF(AM51="","",AM51-AN51)</f>
        <v>0</v>
      </c>
      <c r="AC51" s="431" t="str">
        <f>IF(AM51="","فاقد داده",IF(AM51&gt;AO51,"انتقال به تثبیت نهایی",IF(AM51&lt;TODAY(),"عقب‌افتاده",IF(AM51=TODAY(),"سررسید امروز","آینده"))))</f>
        <v>آینده</v>
      </c>
      <c r="AD51" s="432" t="str">
        <f>IF(OR(AM51&gt;AO51,Z51="تثبیت نهایی"),"بله","خیر")</f>
        <v>خیر</v>
      </c>
      <c r="AE51" s="436" t="str">
        <v>این فرمول فقط تاریخ پیشنهادی را محاسبه می‌کند و ردیف‌های برنامهٔ روزانه را خودکار جابه‌جا نمی‌کند.</v>
      </c>
      <c r="AF51" s="1423" t="n">
        <v>46294</v>
      </c>
      <c r="AG51" s="1423" t="n">
        <v>46295</v>
      </c>
      <c r="AH51" s="1423" t="n">
        <v>46297</v>
      </c>
      <c r="AI51" s="1423" t="n">
        <v>46301</v>
      </c>
      <c r="AJ51" s="1423" t="n">
        <v>46308</v>
      </c>
      <c r="AK51" s="1423" t="n">
        <v>46322</v>
      </c>
      <c r="AL51" s="1423" t="str">
        <f>IFERROR(INDEX('برنامه خرد'!$I$2:$I$82,MATCH(Q51,'برنامه خرد'!$A$2:$A$82,0)),"")</f>
      </c>
      <c r="AM51" s="1423" t="n">
        <f>IF(AL51="",AN51,IF(T51="غلط یا کمتر از ۵۰٪",AL51+1,IF(T51="ناقص یا همراه با حدس",AL51+2,IF(T51="درست ولی کند و مردد",AL51+4,IF(T51="درست، سریع و کامل",IF(W51&gt;=2,AL51+IF(R51&lt;14,14,28),AL51+MIN(28,MAX(3,R51*2))),AN51)))))</f>
        <v>46295</v>
      </c>
      <c r="AN51" s="1423" t="n">
        <v>46295</v>
      </c>
      <c r="AO51" s="1423" t="n">
        <v>46317</v>
      </c>
    </row>
    <row r="52" ht="38" customHeight="1">
      <c r="A52" s="366" t="str">
        <v>U051</v>
      </c>
      <c r="B52" s="367" t="str">
        <v>آسیب‌شناسی روانی</v>
      </c>
      <c r="C52" s="367" t="str">
        <v>روان‌شناسی مرضی و آسیب‌شناسی</v>
      </c>
      <c r="D52" s="367" t="str">
        <v>17</v>
      </c>
      <c r="E52" s="367" t="str">
        <v>اختلالات عصبی ـ شناختی</v>
      </c>
      <c r="F52" s="367" t="str">
        <v>واحد مطالعه بر اساس بازهٔ صفحه</v>
      </c>
      <c r="G52" s="367" t="str">
        <v>۵۵۹ تا ۵۶۴</v>
      </c>
      <c r="H52" s="680" t="n">
        <v>6</v>
      </c>
      <c r="I52" s="367" t="str">
        <v>۱۴۰۵/۰۷/۰۸</v>
      </c>
      <c r="J52" s="683" t="n">
        <v>25</v>
      </c>
      <c r="K52" s="367" t="str">
        <v>۱۴۰۵/۰۷/۰۸</v>
      </c>
      <c r="L52" s="367" t="str">
        <v>۱۴۰۵/۰۷/۰۹</v>
      </c>
      <c r="M52" s="367" t="str">
        <v>۱۴۰۵/۰۷/۱۱</v>
      </c>
      <c r="N52" s="367" t="str">
        <v>۱۴۰۵/۰۷/۱۵</v>
      </c>
      <c r="O52" s="367" t="str">
        <v>۱۴۰۵/۰۷/۲۲</v>
      </c>
      <c r="P52" s="367" t="str">
        <v>تثبیت نهایی</v>
      </c>
      <c r="Q52" s="411"/>
      <c r="R52" s="687" t="n">
        <v>1</v>
      </c>
      <c r="S52" s="687"/>
      <c r="T52" s="412"/>
      <c r="U52" s="412"/>
      <c r="V52" s="412"/>
      <c r="W52" s="687" t="str">
        <v>0</v>
      </c>
      <c r="X52" s="412" t="str">
        <v>خیر</v>
      </c>
      <c r="Y52" s="413" t="str">
        <v>خیر</v>
      </c>
      <c r="Z52" s="430" t="str">
        <f>IF(AM52="","",IF(AM52&gt;AO52,"تثبیت نهایی",IFERROR(INDEX('برنامه خرد'!$A$2:$A$82,MATCH(AM52,'برنامه خرد'!$I$2:$I$82,0)),"تثبیت نهایی")))</f>
        <v>۱۴۰۵/۰۷/۰۹</v>
      </c>
      <c r="AA52" s="431" t="str">
        <v>۱۴۰۵/۰۷/۰۹</v>
      </c>
      <c r="AB52" s="690" t="n">
        <f>IF(AM52="","",AM52-AN52)</f>
        <v>0</v>
      </c>
      <c r="AC52" s="431" t="str">
        <f>IF(AM52="","فاقد داده",IF(AM52&gt;AO52,"انتقال به تثبیت نهایی",IF(AM52&lt;TODAY(),"عقب‌افتاده",IF(AM52=TODAY(),"سررسید امروز","آینده"))))</f>
        <v>آینده</v>
      </c>
      <c r="AD52" s="432" t="str">
        <f>IF(OR(AM52&gt;AO52,Z52="تثبیت نهایی"),"بله","خیر")</f>
        <v>خیر</v>
      </c>
      <c r="AE52" s="436" t="str">
        <v>این فرمول فقط تاریخ پیشنهادی را محاسبه می‌کند و ردیف‌های برنامهٔ روزانه را خودکار جابه‌جا نمی‌کند.</v>
      </c>
      <c r="AF52" s="1423" t="n">
        <v>46295</v>
      </c>
      <c r="AG52" s="1423" t="n">
        <v>46296</v>
      </c>
      <c r="AH52" s="1423" t="n">
        <v>46298</v>
      </c>
      <c r="AI52" s="1423" t="n">
        <v>46302</v>
      </c>
      <c r="AJ52" s="1423" t="n">
        <v>46309</v>
      </c>
      <c r="AK52" s="1423" t="n">
        <v>46323</v>
      </c>
      <c r="AL52" s="1423" t="str">
        <f>IFERROR(INDEX('برنامه خرد'!$I$2:$I$82,MATCH(Q52,'برنامه خرد'!$A$2:$A$82,0)),"")</f>
      </c>
      <c r="AM52" s="1423" t="n">
        <f>IF(AL52="",AN52,IF(T52="غلط یا کمتر از ۵۰٪",AL52+1,IF(T52="ناقص یا همراه با حدس",AL52+2,IF(T52="درست ولی کند و مردد",AL52+4,IF(T52="درست، سریع و کامل",IF(W52&gt;=2,AL52+IF(R52&lt;14,14,28),AL52+MIN(28,MAX(3,R52*2))),AN52)))))</f>
        <v>46296</v>
      </c>
      <c r="AN52" s="1423" t="n">
        <v>46296</v>
      </c>
      <c r="AO52" s="1423" t="n">
        <v>46317</v>
      </c>
    </row>
    <row r="53" ht="38" customHeight="1">
      <c r="A53" s="280" t="str">
        <v>U052</v>
      </c>
      <c r="B53" s="281" t="str">
        <v>آسیب‌شناسی روانی</v>
      </c>
      <c r="C53" s="281" t="str">
        <v>روان‌شناسی مرضی و آسیب‌شناسی</v>
      </c>
      <c r="D53" s="281" t="str">
        <v>17</v>
      </c>
      <c r="E53" s="281" t="str">
        <v>اختلالات عصبی ـ شناختی</v>
      </c>
      <c r="F53" s="281" t="str">
        <v>واحد مطالعه بر اساس بازهٔ صفحه</v>
      </c>
      <c r="G53" s="281" t="str">
        <v>۵۶۵ تا ۵۷۰</v>
      </c>
      <c r="H53" s="681" t="n">
        <v>6</v>
      </c>
      <c r="I53" s="281" t="str">
        <v>۱۴۰۵/۰۷/۰۹</v>
      </c>
      <c r="J53" s="684" t="n">
        <v>25</v>
      </c>
      <c r="K53" s="281" t="str">
        <v>۱۴۰۵/۰۷/۰۹</v>
      </c>
      <c r="L53" s="281" t="str">
        <v>۱۴۰۵/۰۷/۱۰</v>
      </c>
      <c r="M53" s="281" t="str">
        <v>۱۴۰۵/۰۷/۱۲</v>
      </c>
      <c r="N53" s="281" t="str">
        <v>۱۴۰۵/۰۷/۱۶</v>
      </c>
      <c r="O53" s="281" t="str">
        <v>۱۴۰۵/۰۷/۲۳</v>
      </c>
      <c r="P53" s="281" t="str">
        <v>تثبیت نهایی</v>
      </c>
      <c r="Q53" s="411"/>
      <c r="R53" s="687" t="n">
        <v>1</v>
      </c>
      <c r="S53" s="687"/>
      <c r="T53" s="412"/>
      <c r="U53" s="412"/>
      <c r="V53" s="412"/>
      <c r="W53" s="687" t="str">
        <v>0</v>
      </c>
      <c r="X53" s="412" t="str">
        <v>خیر</v>
      </c>
      <c r="Y53" s="413" t="str">
        <v>خیر</v>
      </c>
      <c r="Z53" s="430" t="str">
        <f>IF(AM53="","",IF(AM53&gt;AO53,"تثبیت نهایی",IFERROR(INDEX('برنامه خرد'!$A$2:$A$82,MATCH(AM53,'برنامه خرد'!$I$2:$I$82,0)),"تثبیت نهایی")))</f>
        <v>۱۴۰۵/۰۷/۱۰</v>
      </c>
      <c r="AA53" s="431" t="str">
        <v>۱۴۰۵/۰۷/۱۰</v>
      </c>
      <c r="AB53" s="690" t="n">
        <f>IF(AM53="","",AM53-AN53)</f>
        <v>0</v>
      </c>
      <c r="AC53" s="431" t="str">
        <f>IF(AM53="","فاقد داده",IF(AM53&gt;AO53,"انتقال به تثبیت نهایی",IF(AM53&lt;TODAY(),"عقب‌افتاده",IF(AM53=TODAY(),"سررسید امروز","آینده"))))</f>
        <v>آینده</v>
      </c>
      <c r="AD53" s="432" t="str">
        <f>IF(OR(AM53&gt;AO53,Z53="تثبیت نهایی"),"بله","خیر")</f>
        <v>خیر</v>
      </c>
      <c r="AE53" s="436" t="str">
        <v>این فرمول فقط تاریخ پیشنهادی را محاسبه می‌کند و ردیف‌های برنامهٔ روزانه را خودکار جابه‌جا نمی‌کند.</v>
      </c>
      <c r="AF53" s="1423" t="n">
        <v>46296</v>
      </c>
      <c r="AG53" s="1423" t="n">
        <v>46297</v>
      </c>
      <c r="AH53" s="1423" t="n">
        <v>46299</v>
      </c>
      <c r="AI53" s="1423" t="n">
        <v>46303</v>
      </c>
      <c r="AJ53" s="1423" t="n">
        <v>46310</v>
      </c>
      <c r="AK53" s="1423" t="n">
        <v>46324</v>
      </c>
      <c r="AL53" s="1423" t="str">
        <f>IFERROR(INDEX('برنامه خرد'!$I$2:$I$82,MATCH(Q53,'برنامه خرد'!$A$2:$A$82,0)),"")</f>
      </c>
      <c r="AM53" s="1423" t="n">
        <f>IF(AL53="",AN53,IF(T53="غلط یا کمتر از ۵۰٪",AL53+1,IF(T53="ناقص یا همراه با حدس",AL53+2,IF(T53="درست ولی کند و مردد",AL53+4,IF(T53="درست، سریع و کامل",IF(W53&gt;=2,AL53+IF(R53&lt;14,14,28),AL53+MIN(28,MAX(3,R53*2))),AN53)))))</f>
        <v>46297</v>
      </c>
      <c r="AN53" s="1423" t="n">
        <v>46297</v>
      </c>
      <c r="AO53" s="1423" t="n">
        <v>46317</v>
      </c>
    </row>
    <row r="54" ht="38" customHeight="1">
      <c r="A54" s="366" t="str">
        <v>U053</v>
      </c>
      <c r="B54" s="367" t="str">
        <v>آسیب‌شناسی روانی</v>
      </c>
      <c r="C54" s="367" t="str">
        <v>روان‌شناسی مرضی و آسیب‌شناسی</v>
      </c>
      <c r="D54" s="367" t="str">
        <v>17</v>
      </c>
      <c r="E54" s="367" t="str">
        <v>اختلالات عصبی ـ شناختی</v>
      </c>
      <c r="F54" s="367" t="str">
        <v>واحد مطالعه بر اساس بازهٔ صفحه</v>
      </c>
      <c r="G54" s="367" t="str">
        <v>۵۷۱ تا ۵۷۴</v>
      </c>
      <c r="H54" s="680" t="n">
        <v>4</v>
      </c>
      <c r="I54" s="367" t="str">
        <v>۱۴۰۵/۰۷/۱۰</v>
      </c>
      <c r="J54" s="683" t="n">
        <v>17.4</v>
      </c>
      <c r="K54" s="367" t="str">
        <v>۱۴۰۵/۰۷/۱۰</v>
      </c>
      <c r="L54" s="367" t="str">
        <v>۱۴۰۵/۰۷/۱۱</v>
      </c>
      <c r="M54" s="367" t="str">
        <v>۱۴۰۵/۰۷/۱۳</v>
      </c>
      <c r="N54" s="367" t="str">
        <v>۱۴۰۵/۰۷/۱۷</v>
      </c>
      <c r="O54" s="367" t="str">
        <v>۱۴۰۵/۰۷/۲۴</v>
      </c>
      <c r="P54" s="367" t="str">
        <v>تثبیت نهایی</v>
      </c>
      <c r="Q54" s="411"/>
      <c r="R54" s="687" t="n">
        <v>1</v>
      </c>
      <c r="S54" s="687"/>
      <c r="T54" s="412"/>
      <c r="U54" s="412"/>
      <c r="V54" s="412"/>
      <c r="W54" s="687" t="str">
        <v>0</v>
      </c>
      <c r="X54" s="412" t="str">
        <v>خیر</v>
      </c>
      <c r="Y54" s="413" t="str">
        <v>خیر</v>
      </c>
      <c r="Z54" s="430" t="str">
        <f>IF(AM54="","",IF(AM54&gt;AO54,"تثبیت نهایی",IFERROR(INDEX('برنامه خرد'!$A$2:$A$82,MATCH(AM54,'برنامه خرد'!$I$2:$I$82,0)),"تثبیت نهایی")))</f>
        <v>۱۴۰۵/۰۷/۱۲</v>
      </c>
      <c r="AA54" s="431" t="str">
        <v>۱۴۰۵/۰۷/۱۲</v>
      </c>
      <c r="AB54" s="690" t="n">
        <f>IF(AM54="","",AM54-AN54)</f>
        <v>0</v>
      </c>
      <c r="AC54" s="431" t="str">
        <f>IF(AM54="","فاقد داده",IF(AM54&gt;AO54,"انتقال به تثبیت نهایی",IF(AM54&lt;TODAY(),"عقب‌افتاده",IF(AM54=TODAY(),"سررسید امروز","آینده"))))</f>
        <v>آینده</v>
      </c>
      <c r="AD54" s="432" t="str">
        <f>IF(OR(AM54&gt;AO54,Z54="تثبیت نهایی"),"بله","خیر")</f>
        <v>خیر</v>
      </c>
      <c r="AE54" s="436" t="str">
        <v>این فرمول فقط تاریخ پیشنهادی را محاسبه می‌کند و ردیف‌های برنامهٔ روزانه را خودکار جابه‌جا نمی‌کند.</v>
      </c>
      <c r="AF54" s="1423" t="n">
        <v>46297</v>
      </c>
      <c r="AG54" s="1423" t="n">
        <v>46298</v>
      </c>
      <c r="AH54" s="1423" t="n">
        <v>46300</v>
      </c>
      <c r="AI54" s="1423" t="n">
        <v>46304</v>
      </c>
      <c r="AJ54" s="1423" t="n">
        <v>46311</v>
      </c>
      <c r="AK54" s="1423" t="n">
        <v>46325</v>
      </c>
      <c r="AL54" s="1423" t="str">
        <f>IFERROR(INDEX('برنامه خرد'!$I$2:$I$82,MATCH(Q54,'برنامه خرد'!$A$2:$A$82,0)),"")</f>
      </c>
      <c r="AM54" s="1423" t="n">
        <f>IF(AL54="",AN54,IF(T54="غلط یا کمتر از ۵۰٪",AL54+1,IF(T54="ناقص یا همراه با حدس",AL54+2,IF(T54="درست ولی کند و مردد",AL54+4,IF(T54="درست، سریع و کامل",IF(W54&gt;=2,AL54+IF(R54&lt;14,14,28),AL54+MIN(28,MAX(3,R54*2))),AN54)))))</f>
        <v>46299</v>
      </c>
      <c r="AN54" s="1423" t="n">
        <v>46299</v>
      </c>
      <c r="AO54" s="1423" t="n">
        <v>46317</v>
      </c>
    </row>
    <row r="55" ht="38" customHeight="1">
      <c r="A55" s="280" t="str">
        <v>U054</v>
      </c>
      <c r="B55" s="281" t="str">
        <v>آسیب‌شناسی روانی</v>
      </c>
      <c r="C55" s="281" t="str">
        <v>روان‌شناسی مرضی و آسیب‌شناسی</v>
      </c>
      <c r="D55" s="281" t="str">
        <v>18</v>
      </c>
      <c r="E55" s="281" t="str">
        <v>اختلالات شخصیت</v>
      </c>
      <c r="F55" s="281" t="str">
        <v>واحد مطالعه بر اساس بازهٔ صفحه</v>
      </c>
      <c r="G55" s="281" t="str">
        <v>۵۷۵ تا ۵۹۰</v>
      </c>
      <c r="H55" s="681" t="n">
        <v>16</v>
      </c>
      <c r="I55" s="281" t="str">
        <v>۱۴۰۵/۰۷/۱۰</v>
      </c>
      <c r="J55" s="684" t="n">
        <v>69.6</v>
      </c>
      <c r="K55" s="281" t="str">
        <v>۱۴۰۵/۰۷/۱۰</v>
      </c>
      <c r="L55" s="281" t="str">
        <v>۱۴۰۵/۰۷/۱۱</v>
      </c>
      <c r="M55" s="281" t="str">
        <v>۱۴۰۵/۰۷/۱۳</v>
      </c>
      <c r="N55" s="281" t="str">
        <v>۱۴۰۵/۰۷/۱۷</v>
      </c>
      <c r="O55" s="281" t="str">
        <v>۱۴۰۵/۰۷/۲۴</v>
      </c>
      <c r="P55" s="281" t="str">
        <v>تثبیت نهایی</v>
      </c>
      <c r="Q55" s="411"/>
      <c r="R55" s="687" t="n">
        <v>1</v>
      </c>
      <c r="S55" s="687"/>
      <c r="T55" s="412"/>
      <c r="U55" s="412"/>
      <c r="V55" s="412"/>
      <c r="W55" s="687" t="str">
        <v>0</v>
      </c>
      <c r="X55" s="412" t="str">
        <v>خیر</v>
      </c>
      <c r="Y55" s="413" t="str">
        <v>خیر</v>
      </c>
      <c r="Z55" s="430" t="str">
        <f>IF(AM55="","",IF(AM55&gt;AO55,"تثبیت نهایی",IFERROR(INDEX('برنامه خرد'!$A$2:$A$82,MATCH(AM55,'برنامه خرد'!$I$2:$I$82,0)),"تثبیت نهایی")))</f>
        <v>۱۴۰۵/۰۷/۱۲</v>
      </c>
      <c r="AA55" s="431" t="str">
        <v>۱۴۰۵/۰۷/۱۲</v>
      </c>
      <c r="AB55" s="690" t="n">
        <f>IF(AM55="","",AM55-AN55)</f>
        <v>0</v>
      </c>
      <c r="AC55" s="431" t="str">
        <f>IF(AM55="","فاقد داده",IF(AM55&gt;AO55,"انتقال به تثبیت نهایی",IF(AM55&lt;TODAY(),"عقب‌افتاده",IF(AM55=TODAY(),"سررسید امروز","آینده"))))</f>
        <v>آینده</v>
      </c>
      <c r="AD55" s="432" t="str">
        <f>IF(OR(AM55&gt;AO55,Z55="تثبیت نهایی"),"بله","خیر")</f>
        <v>خیر</v>
      </c>
      <c r="AE55" s="436" t="str">
        <v>این فرمول فقط تاریخ پیشنهادی را محاسبه می‌کند و ردیف‌های برنامهٔ روزانه را خودکار جابه‌جا نمی‌کند.</v>
      </c>
      <c r="AF55" s="1423" t="n">
        <v>46297</v>
      </c>
      <c r="AG55" s="1423" t="n">
        <v>46298</v>
      </c>
      <c r="AH55" s="1423" t="n">
        <v>46300</v>
      </c>
      <c r="AI55" s="1423" t="n">
        <v>46304</v>
      </c>
      <c r="AJ55" s="1423" t="n">
        <v>46311</v>
      </c>
      <c r="AK55" s="1423" t="n">
        <v>46325</v>
      </c>
      <c r="AL55" s="1423" t="str">
        <f>IFERROR(INDEX('برنامه خرد'!$I$2:$I$82,MATCH(Q55,'برنامه خرد'!$A$2:$A$82,0)),"")</f>
      </c>
      <c r="AM55" s="1423" t="n">
        <f>IF(AL55="",AN55,IF(T55="غلط یا کمتر از ۵۰٪",AL55+1,IF(T55="ناقص یا همراه با حدس",AL55+2,IF(T55="درست ولی کند و مردد",AL55+4,IF(T55="درست، سریع و کامل",IF(W55&gt;=2,AL55+IF(R55&lt;14,14,28),AL55+MIN(28,MAX(3,R55*2))),AN55)))))</f>
        <v>46299</v>
      </c>
      <c r="AN55" s="1423" t="n">
        <v>46299</v>
      </c>
      <c r="AO55" s="1423" t="n">
        <v>46317</v>
      </c>
    </row>
    <row r="56" ht="38" customHeight="1">
      <c r="A56" s="366" t="str">
        <v>U055</v>
      </c>
      <c r="B56" s="367" t="str">
        <v>آسیب‌شناسی روانی</v>
      </c>
      <c r="C56" s="367" t="str">
        <v>روان‌شناسی مرضی و آسیب‌شناسی</v>
      </c>
      <c r="D56" s="367" t="str">
        <v>18</v>
      </c>
      <c r="E56" s="367" t="str">
        <v>اختلالات شخصیت</v>
      </c>
      <c r="F56" s="367" t="str">
        <v>واحد مطالعه بر اساس بازهٔ صفحه</v>
      </c>
      <c r="G56" s="367" t="str">
        <v>۵۹۱ تا ۶۱۰</v>
      </c>
      <c r="H56" s="680" t="n">
        <v>20</v>
      </c>
      <c r="I56" s="367" t="str">
        <v>۱۴۰۵/۰۷/۱۲</v>
      </c>
      <c r="J56" s="683" t="n">
        <v>87</v>
      </c>
      <c r="K56" s="367" t="str">
        <v>۱۴۰۵/۰۷/۱۲</v>
      </c>
      <c r="L56" s="367" t="str">
        <v>۱۴۰۵/۰۷/۱۳</v>
      </c>
      <c r="M56" s="367" t="str">
        <v>۱۴۰۵/۰۷/۱۵</v>
      </c>
      <c r="N56" s="367" t="str">
        <v>۱۴۰۵/۰۷/۱۹</v>
      </c>
      <c r="O56" s="367" t="str">
        <v>۱۴۰۵/۰۷/۲۶</v>
      </c>
      <c r="P56" s="367" t="str">
        <v>تثبیت نهایی</v>
      </c>
      <c r="Q56" s="411"/>
      <c r="R56" s="687" t="n">
        <v>1</v>
      </c>
      <c r="S56" s="687"/>
      <c r="T56" s="412"/>
      <c r="U56" s="412"/>
      <c r="V56" s="412"/>
      <c r="W56" s="687" t="str">
        <v>0</v>
      </c>
      <c r="X56" s="412" t="str">
        <v>خیر</v>
      </c>
      <c r="Y56" s="413" t="str">
        <v>خیر</v>
      </c>
      <c r="Z56" s="430" t="str">
        <f>IF(AM56="","",IF(AM56&gt;AO56,"تثبیت نهایی",IFERROR(INDEX('برنامه خرد'!$A$2:$A$82,MATCH(AM56,'برنامه خرد'!$I$2:$I$82,0)),"تثبیت نهایی")))</f>
        <v>۱۴۰۵/۰۷/۱۴</v>
      </c>
      <c r="AA56" s="431" t="str">
        <v>۱۴۰۵/۰۷/۱۴</v>
      </c>
      <c r="AB56" s="690" t="n">
        <f>IF(AM56="","",AM56-AN56)</f>
        <v>0</v>
      </c>
      <c r="AC56" s="431" t="str">
        <f>IF(AM56="","فاقد داده",IF(AM56&gt;AO56,"انتقال به تثبیت نهایی",IF(AM56&lt;TODAY(),"عقب‌افتاده",IF(AM56=TODAY(),"سررسید امروز","آینده"))))</f>
        <v>آینده</v>
      </c>
      <c r="AD56" s="432" t="str">
        <f>IF(OR(AM56&gt;AO56,Z56="تثبیت نهایی"),"بله","خیر")</f>
        <v>خیر</v>
      </c>
      <c r="AE56" s="436" t="str">
        <v>این فرمول فقط تاریخ پیشنهادی را محاسبه می‌کند و ردیف‌های برنامهٔ روزانه را خودکار جابه‌جا نمی‌کند.</v>
      </c>
      <c r="AF56" s="1423" t="n">
        <v>46299</v>
      </c>
      <c r="AG56" s="1423" t="n">
        <v>46300</v>
      </c>
      <c r="AH56" s="1423" t="n">
        <v>46302</v>
      </c>
      <c r="AI56" s="1423" t="n">
        <v>46306</v>
      </c>
      <c r="AJ56" s="1423" t="n">
        <v>46313</v>
      </c>
      <c r="AK56" s="1423" t="n">
        <v>46327</v>
      </c>
      <c r="AL56" s="1423" t="str">
        <f>IFERROR(INDEX('برنامه خرد'!$I$2:$I$82,MATCH(Q56,'برنامه خرد'!$A$2:$A$82,0)),"")</f>
      </c>
      <c r="AM56" s="1423" t="n">
        <f>IF(AL56="",AN56,IF(T56="غلط یا کمتر از ۵۰٪",AL56+1,IF(T56="ناقص یا همراه با حدس",AL56+2,IF(T56="درست ولی کند و مردد",AL56+4,IF(T56="درست، سریع و کامل",IF(W56&gt;=2,AL56+IF(R56&lt;14,14,28),AL56+MIN(28,MAX(3,R56*2))),AN56)))))</f>
        <v>46301</v>
      </c>
      <c r="AN56" s="1423" t="n">
        <v>46301</v>
      </c>
      <c r="AO56" s="1423" t="n">
        <v>46317</v>
      </c>
    </row>
    <row r="57" ht="38" customHeight="1">
      <c r="A57" s="280" t="str">
        <v>U056</v>
      </c>
      <c r="B57" s="281" t="str">
        <v>آسیب‌شناسی روانی</v>
      </c>
      <c r="C57" s="281" t="str">
        <v>روان‌شناسی مرضی و آسیب‌شناسی</v>
      </c>
      <c r="D57" s="281" t="str">
        <v>18</v>
      </c>
      <c r="E57" s="281" t="str">
        <v>اختلالات شخصیت</v>
      </c>
      <c r="F57" s="281" t="str">
        <v>واحد مطالعه بر اساس بازهٔ صفحه</v>
      </c>
      <c r="G57" s="281" t="str">
        <v>۶۱۱ تا ۶۱۴</v>
      </c>
      <c r="H57" s="681" t="n">
        <v>4</v>
      </c>
      <c r="I57" s="281" t="str">
        <v>۱۴۰۵/۰۷/۱۴</v>
      </c>
      <c r="J57" s="684" t="n">
        <v>16.7</v>
      </c>
      <c r="K57" s="281" t="str">
        <v>۱۴۰۵/۰۷/۱۴</v>
      </c>
      <c r="L57" s="281" t="str">
        <v>۱۴۰۵/۰۷/۱۵</v>
      </c>
      <c r="M57" s="281" t="str">
        <v>۱۴۰۵/۰۷/۱۷</v>
      </c>
      <c r="N57" s="281" t="str">
        <v>۱۴۰۵/۰۷/۲۱</v>
      </c>
      <c r="O57" s="281" t="str">
        <v>۱۴۰۵/۰۷/۲۸</v>
      </c>
      <c r="P57" s="281" t="str">
        <v>تثبیت نهایی</v>
      </c>
      <c r="Q57" s="411"/>
      <c r="R57" s="687" t="n">
        <v>1</v>
      </c>
      <c r="S57" s="687"/>
      <c r="T57" s="412"/>
      <c r="U57" s="412"/>
      <c r="V57" s="412"/>
      <c r="W57" s="687" t="str">
        <v>0</v>
      </c>
      <c r="X57" s="412" t="str">
        <v>خیر</v>
      </c>
      <c r="Y57" s="413" t="str">
        <v>خیر</v>
      </c>
      <c r="Z57" s="430" t="str">
        <f>IF(AM57="","",IF(AM57&gt;AO57,"تثبیت نهایی",IFERROR(INDEX('برنامه خرد'!$A$2:$A$82,MATCH(AM57,'برنامه خرد'!$I$2:$I$82,0)),"تثبیت نهایی")))</f>
        <v>۱۴۰۵/۰۷/۱۵</v>
      </c>
      <c r="AA57" s="431" t="str">
        <v>۱۴۰۵/۰۷/۱۵</v>
      </c>
      <c r="AB57" s="690" t="n">
        <f>IF(AM57="","",AM57-AN57)</f>
        <v>0</v>
      </c>
      <c r="AC57" s="431" t="str">
        <f>IF(AM57="","فاقد داده",IF(AM57&gt;AO57,"انتقال به تثبیت نهایی",IF(AM57&lt;TODAY(),"عقب‌افتاده",IF(AM57=TODAY(),"سررسید امروز","آینده"))))</f>
        <v>آینده</v>
      </c>
      <c r="AD57" s="432" t="str">
        <f>IF(OR(AM57&gt;AO57,Z57="تثبیت نهایی"),"بله","خیر")</f>
        <v>خیر</v>
      </c>
      <c r="AE57" s="436" t="str">
        <v>این فرمول فقط تاریخ پیشنهادی را محاسبه می‌کند و ردیف‌های برنامهٔ روزانه را خودکار جابه‌جا نمی‌کند.</v>
      </c>
      <c r="AF57" s="1423" t="n">
        <v>46301</v>
      </c>
      <c r="AG57" s="1423" t="n">
        <v>46302</v>
      </c>
      <c r="AH57" s="1423" t="n">
        <v>46304</v>
      </c>
      <c r="AI57" s="1423" t="n">
        <v>46308</v>
      </c>
      <c r="AJ57" s="1423" t="n">
        <v>46315</v>
      </c>
      <c r="AK57" s="1423" t="n">
        <v>46329</v>
      </c>
      <c r="AL57" s="1423" t="str">
        <f>IFERROR(INDEX('برنامه خرد'!$I$2:$I$82,MATCH(Q57,'برنامه خرد'!$A$2:$A$82,0)),"")</f>
      </c>
      <c r="AM57" s="1423" t="n">
        <f>IF(AL57="",AN57,IF(T57="غلط یا کمتر از ۵۰٪",AL57+1,IF(T57="ناقص یا همراه با حدس",AL57+2,IF(T57="درست ولی کند و مردد",AL57+4,IF(T57="درست، سریع و کامل",IF(W57&gt;=2,AL57+IF(R57&lt;14,14,28),AL57+MIN(28,MAX(3,R57*2))),AN57)))))</f>
        <v>46302</v>
      </c>
      <c r="AN57" s="1423" t="n">
        <v>46302</v>
      </c>
      <c r="AO57" s="1423" t="n">
        <v>46317</v>
      </c>
    </row>
    <row r="58" ht="38" customHeight="1">
      <c r="A58" s="366" t="str">
        <v>U057</v>
      </c>
      <c r="B58" s="367" t="str">
        <v>آسیب‌شناسی روانی</v>
      </c>
      <c r="C58" s="367" t="str">
        <v>روان‌شناسی مرضی و آسیب‌شناسی</v>
      </c>
      <c r="D58" s="367" t="str">
        <v>19</v>
      </c>
      <c r="E58" s="367" t="str">
        <v>مهم‌ترین تغییرات رخ‌داده در DSM-5</v>
      </c>
      <c r="F58" s="367" t="str">
        <v>واحد مطالعه بر اساس بازهٔ صفحه</v>
      </c>
      <c r="G58" s="367" t="str">
        <v>۶۱۵ تا ۶۱۶</v>
      </c>
      <c r="H58" s="680" t="n">
        <v>2</v>
      </c>
      <c r="I58" s="367" t="str">
        <v>۱۴۰۵/۰۷/۱۴</v>
      </c>
      <c r="J58" s="683" t="n">
        <v>8.3</v>
      </c>
      <c r="K58" s="367" t="str">
        <v>۱۴۰۵/۰۷/۱۴</v>
      </c>
      <c r="L58" s="367" t="str">
        <v>۱۴۰۵/۰۷/۱۵</v>
      </c>
      <c r="M58" s="367" t="str">
        <v>۱۴۰۵/۰۷/۱۷</v>
      </c>
      <c r="N58" s="367" t="str">
        <v>۱۴۰۵/۰۷/۲۱</v>
      </c>
      <c r="O58" s="367" t="str">
        <v>۱۴۰۵/۰۷/۲۸</v>
      </c>
      <c r="P58" s="367" t="str">
        <v>تثبیت نهایی</v>
      </c>
      <c r="Q58" s="411"/>
      <c r="R58" s="687" t="n">
        <v>1</v>
      </c>
      <c r="S58" s="687"/>
      <c r="T58" s="412"/>
      <c r="U58" s="412"/>
      <c r="V58" s="412"/>
      <c r="W58" s="687" t="str">
        <v>0</v>
      </c>
      <c r="X58" s="412" t="str">
        <v>خیر</v>
      </c>
      <c r="Y58" s="413" t="str">
        <v>خیر</v>
      </c>
      <c r="Z58" s="430" t="str">
        <f>IF(AM58="","",IF(AM58&gt;AO58,"تثبیت نهایی",IFERROR(INDEX('برنامه خرد'!$A$2:$A$82,MATCH(AM58,'برنامه خرد'!$I$2:$I$82,0)),"تثبیت نهایی")))</f>
        <v>۱۴۰۵/۰۷/۱۵</v>
      </c>
      <c r="AA58" s="431" t="str">
        <v>۱۴۰۵/۰۷/۱۵</v>
      </c>
      <c r="AB58" s="690" t="n">
        <f>IF(AM58="","",AM58-AN58)</f>
        <v>0</v>
      </c>
      <c r="AC58" s="431" t="str">
        <f>IF(AM58="","فاقد داده",IF(AM58&gt;AO58,"انتقال به تثبیت نهایی",IF(AM58&lt;TODAY(),"عقب‌افتاده",IF(AM58=TODAY(),"سررسید امروز","آینده"))))</f>
        <v>آینده</v>
      </c>
      <c r="AD58" s="432" t="str">
        <f>IF(OR(AM58&gt;AO58,Z58="تثبیت نهایی"),"بله","خیر")</f>
        <v>خیر</v>
      </c>
      <c r="AE58" s="436" t="str">
        <v>این فرمول فقط تاریخ پیشنهادی را محاسبه می‌کند و ردیف‌های برنامهٔ روزانه را خودکار جابه‌جا نمی‌کند.</v>
      </c>
      <c r="AF58" s="1423" t="n">
        <v>46301</v>
      </c>
      <c r="AG58" s="1423" t="n">
        <v>46302</v>
      </c>
      <c r="AH58" s="1423" t="n">
        <v>46304</v>
      </c>
      <c r="AI58" s="1423" t="n">
        <v>46308</v>
      </c>
      <c r="AJ58" s="1423" t="n">
        <v>46315</v>
      </c>
      <c r="AK58" s="1423" t="n">
        <v>46329</v>
      </c>
      <c r="AL58" s="1423" t="str">
        <f>IFERROR(INDEX('برنامه خرد'!$I$2:$I$82,MATCH(Q58,'برنامه خرد'!$A$2:$A$82,0)),"")</f>
      </c>
      <c r="AM58" s="1423" t="n">
        <f>IF(AL58="",AN58,IF(T58="غلط یا کمتر از ۵۰٪",AL58+1,IF(T58="ناقص یا همراه با حدس",AL58+2,IF(T58="درست ولی کند و مردد",AL58+4,IF(T58="درست، سریع و کامل",IF(W58&gt;=2,AL58+IF(R58&lt;14,14,28),AL58+MIN(28,MAX(3,R58*2))),AN58)))))</f>
        <v>46302</v>
      </c>
      <c r="AN58" s="1423" t="n">
        <v>46302</v>
      </c>
      <c r="AO58" s="1423" t="n">
        <v>46317</v>
      </c>
    </row>
    <row r="59" ht="38" customHeight="1">
      <c r="A59" s="280" t="str">
        <v>U058</v>
      </c>
      <c r="B59" s="281" t="str">
        <v>آسیب‌شناسی روانی</v>
      </c>
      <c r="C59" s="281" t="str">
        <v>روان‌شناسی مرضی و آسیب‌شناسی</v>
      </c>
      <c r="D59" s="281" t="str">
        <v>19</v>
      </c>
      <c r="E59" s="281" t="str">
        <v>مهم‌ترین تغییرات رخ‌داده در DSM-5</v>
      </c>
      <c r="F59" s="281" t="str">
        <v>واحد مطالعه بر اساس بازهٔ صفحه</v>
      </c>
      <c r="G59" s="281" t="str">
        <v>۶۱۷ تا ۶۲۲</v>
      </c>
      <c r="H59" s="681" t="n">
        <v>6</v>
      </c>
      <c r="I59" s="281" t="str">
        <v>۱۴۰۵/۰۷/۱۵</v>
      </c>
      <c r="J59" s="684" t="n">
        <v>25</v>
      </c>
      <c r="K59" s="281" t="str">
        <v>۱۴۰۵/۰۷/۱۵</v>
      </c>
      <c r="L59" s="281" t="str">
        <v>۱۴۰۵/۰۷/۱۶</v>
      </c>
      <c r="M59" s="281" t="str">
        <v>۱۴۰۵/۰۷/۱۸</v>
      </c>
      <c r="N59" s="281" t="str">
        <v>۱۴۰۵/۰۷/۲۲</v>
      </c>
      <c r="O59" s="281" t="str">
        <v>۱۴۰۵/۰۷/۲۹</v>
      </c>
      <c r="P59" s="281" t="str">
        <v>تثبیت نهایی</v>
      </c>
      <c r="Q59" s="411"/>
      <c r="R59" s="687" t="n">
        <v>1</v>
      </c>
      <c r="S59" s="687"/>
      <c r="T59" s="412"/>
      <c r="U59" s="412"/>
      <c r="V59" s="412"/>
      <c r="W59" s="687" t="str">
        <v>0</v>
      </c>
      <c r="X59" s="412" t="str">
        <v>خیر</v>
      </c>
      <c r="Y59" s="413" t="str">
        <v>خیر</v>
      </c>
      <c r="Z59" s="430" t="str">
        <f>IF(AM59="","",IF(AM59&gt;AO59,"تثبیت نهایی",IFERROR(INDEX('برنامه خرد'!$A$2:$A$82,MATCH(AM59,'برنامه خرد'!$I$2:$I$82,0)),"تثبیت نهایی")))</f>
        <v>۱۴۰۵/۰۷/۱۶</v>
      </c>
      <c r="AA59" s="431" t="str">
        <v>۱۴۰۵/۰۷/۱۶</v>
      </c>
      <c r="AB59" s="690" t="n">
        <f>IF(AM59="","",AM59-AN59)</f>
        <v>0</v>
      </c>
      <c r="AC59" s="431" t="str">
        <f>IF(AM59="","فاقد داده",IF(AM59&gt;AO59,"انتقال به تثبیت نهایی",IF(AM59&lt;TODAY(),"عقب‌افتاده",IF(AM59=TODAY(),"سررسید امروز","آینده"))))</f>
        <v>آینده</v>
      </c>
      <c r="AD59" s="432" t="str">
        <f>IF(OR(AM59&gt;AO59,Z59="تثبیت نهایی"),"بله","خیر")</f>
        <v>خیر</v>
      </c>
      <c r="AE59" s="436" t="str">
        <v>این فرمول فقط تاریخ پیشنهادی را محاسبه می‌کند و ردیف‌های برنامهٔ روزانه را خودکار جابه‌جا نمی‌کند.</v>
      </c>
      <c r="AF59" s="1423" t="n">
        <v>46302</v>
      </c>
      <c r="AG59" s="1423" t="n">
        <v>46303</v>
      </c>
      <c r="AH59" s="1423" t="n">
        <v>46305</v>
      </c>
      <c r="AI59" s="1423" t="n">
        <v>46309</v>
      </c>
      <c r="AJ59" s="1423" t="n">
        <v>46316</v>
      </c>
      <c r="AK59" s="1423" t="n">
        <v>46330</v>
      </c>
      <c r="AL59" s="1423" t="str">
        <f>IFERROR(INDEX('برنامه خرد'!$I$2:$I$82,MATCH(Q59,'برنامه خرد'!$A$2:$A$82,0)),"")</f>
      </c>
      <c r="AM59" s="1423" t="n">
        <f>IF(AL59="",AN59,IF(T59="غلط یا کمتر از ۵۰٪",AL59+1,IF(T59="ناقص یا همراه با حدس",AL59+2,IF(T59="درست ولی کند و مردد",AL59+4,IF(T59="درست، سریع و کامل",IF(W59&gt;=2,AL59+IF(R59&lt;14,14,28),AL59+MIN(28,MAX(3,R59*2))),AN59)))))</f>
        <v>46303</v>
      </c>
      <c r="AN59" s="1423" t="n">
        <v>46303</v>
      </c>
      <c r="AO59" s="1423" t="n">
        <v>46317</v>
      </c>
    </row>
    <row r="60" ht="38" customHeight="1">
      <c r="A60" s="366" t="str">
        <v>U059</v>
      </c>
      <c r="B60" s="367" t="str">
        <v>آسیب‌شناسی روانی</v>
      </c>
      <c r="C60" s="367" t="str">
        <v>روان‌شناسی مرضی و آسیب‌شناسی</v>
      </c>
      <c r="D60" s="367" t="str">
        <v>19</v>
      </c>
      <c r="E60" s="367" t="str">
        <v>مهم‌ترین تغییرات رخ‌داده در DSM-5</v>
      </c>
      <c r="F60" s="367" t="str">
        <v>واحد مطالعه بر اساس بازهٔ صفحه</v>
      </c>
      <c r="G60" s="367" t="str">
        <v>۶۲۳ تا ۶۲۸</v>
      </c>
      <c r="H60" s="680" t="n">
        <v>6</v>
      </c>
      <c r="I60" s="367" t="str">
        <v>۱۴۰۵/۰۷/۱۶</v>
      </c>
      <c r="J60" s="683" t="n">
        <v>25</v>
      </c>
      <c r="K60" s="367" t="str">
        <v>۱۴۰۵/۰۷/۱۶</v>
      </c>
      <c r="L60" s="367" t="str">
        <v>۱۴۰۵/۰۷/۱۷</v>
      </c>
      <c r="M60" s="367" t="str">
        <v>۱۴۰۵/۰۷/۱۹</v>
      </c>
      <c r="N60" s="367" t="str">
        <v>۱۴۰۵/۰۷/۲۳</v>
      </c>
      <c r="O60" s="367" t="str">
        <v>۱۴۰۵/۰۷/۳۰</v>
      </c>
      <c r="P60" s="367" t="str">
        <v>تثبیت نهایی</v>
      </c>
      <c r="Q60" s="411"/>
      <c r="R60" s="687" t="n">
        <v>1</v>
      </c>
      <c r="S60" s="687"/>
      <c r="T60" s="412"/>
      <c r="U60" s="412"/>
      <c r="V60" s="412"/>
      <c r="W60" s="687" t="str">
        <v>0</v>
      </c>
      <c r="X60" s="412" t="str">
        <v>خیر</v>
      </c>
      <c r="Y60" s="413" t="str">
        <v>خیر</v>
      </c>
      <c r="Z60" s="430" t="str">
        <f>IF(AM60="","",IF(AM60&gt;AO60,"تثبیت نهایی",IFERROR(INDEX('برنامه خرد'!$A$2:$A$82,MATCH(AM60,'برنامه خرد'!$I$2:$I$82,0)),"تثبیت نهایی")))</f>
        <v>۱۴۰۵/۰۷/۱۷</v>
      </c>
      <c r="AA60" s="431" t="str">
        <v>۱۴۰۵/۰۷/۱۷</v>
      </c>
      <c r="AB60" s="690" t="n">
        <f>IF(AM60="","",AM60-AN60)</f>
        <v>0</v>
      </c>
      <c r="AC60" s="431" t="str">
        <f>IF(AM60="","فاقد داده",IF(AM60&gt;AO60,"انتقال به تثبیت نهایی",IF(AM60&lt;TODAY(),"عقب‌افتاده",IF(AM60=TODAY(),"سررسید امروز","آینده"))))</f>
        <v>آینده</v>
      </c>
      <c r="AD60" s="432" t="str">
        <f>IF(OR(AM60&gt;AO60,Z60="تثبیت نهایی"),"بله","خیر")</f>
        <v>خیر</v>
      </c>
      <c r="AE60" s="436" t="str">
        <v>این فرمول فقط تاریخ پیشنهادی را محاسبه می‌کند و ردیف‌های برنامهٔ روزانه را خودکار جابه‌جا نمی‌کند.</v>
      </c>
      <c r="AF60" s="1423" t="n">
        <v>46303</v>
      </c>
      <c r="AG60" s="1423" t="n">
        <v>46304</v>
      </c>
      <c r="AH60" s="1423" t="n">
        <v>46306</v>
      </c>
      <c r="AI60" s="1423" t="n">
        <v>46310</v>
      </c>
      <c r="AJ60" s="1423" t="n">
        <v>46317</v>
      </c>
      <c r="AK60" s="1423" t="n">
        <v>46331</v>
      </c>
      <c r="AL60" s="1423" t="str">
        <f>IFERROR(INDEX('برنامه خرد'!$I$2:$I$82,MATCH(Q60,'برنامه خرد'!$A$2:$A$82,0)),"")</f>
      </c>
      <c r="AM60" s="1423" t="n">
        <f>IF(AL60="",AN60,IF(T60="غلط یا کمتر از ۵۰٪",AL60+1,IF(T60="ناقص یا همراه با حدس",AL60+2,IF(T60="درست ولی کند و مردد",AL60+4,IF(T60="درست، سریع و کامل",IF(W60&gt;=2,AL60+IF(R60&lt;14,14,28),AL60+MIN(28,MAX(3,R60*2))),AN60)))))</f>
        <v>46304</v>
      </c>
      <c r="AN60" s="1423" t="n">
        <v>46304</v>
      </c>
      <c r="AO60" s="1423" t="n">
        <v>46317</v>
      </c>
    </row>
    <row r="61" ht="38" customHeight="1">
      <c r="A61" s="280" t="str">
        <v>U060</v>
      </c>
      <c r="B61" s="281" t="str">
        <v>آسیب‌شناسی روانی</v>
      </c>
      <c r="C61" s="281" t="str">
        <v>روان‌شناسی مرضی و آسیب‌شناسی</v>
      </c>
      <c r="D61" s="281" t="str">
        <v>19</v>
      </c>
      <c r="E61" s="281" t="str">
        <v>مهم‌ترین تغییرات رخ‌داده در DSM-5</v>
      </c>
      <c r="F61" s="281" t="str">
        <v>واحد مطالعه بر اساس بازهٔ صفحه</v>
      </c>
      <c r="G61" s="281" t="str">
        <v>۶۲۹ تا ۶۴۲</v>
      </c>
      <c r="H61" s="681" t="n">
        <v>14</v>
      </c>
      <c r="I61" s="281" t="str">
        <v>۱۴۰۵/۰۷/۱۷</v>
      </c>
      <c r="J61" s="684" t="n">
        <v>60.9</v>
      </c>
      <c r="K61" s="281" t="str">
        <v>۱۴۰۵/۰۷/۱۷</v>
      </c>
      <c r="L61" s="281" t="str">
        <v>۱۴۰۵/۰۷/۱۸</v>
      </c>
      <c r="M61" s="281" t="str">
        <v>۱۴۰۵/۰۷/۲۰</v>
      </c>
      <c r="N61" s="281" t="str">
        <v>۱۴۰۵/۰۷/۲۴</v>
      </c>
      <c r="O61" s="281" t="str">
        <v>تثبیت نهایی</v>
      </c>
      <c r="P61" s="281" t="str">
        <v>تثبیت نهایی</v>
      </c>
      <c r="Q61" s="411"/>
      <c r="R61" s="687" t="n">
        <v>1</v>
      </c>
      <c r="S61" s="687"/>
      <c r="T61" s="412"/>
      <c r="U61" s="412"/>
      <c r="V61" s="412"/>
      <c r="W61" s="687" t="str">
        <v>0</v>
      </c>
      <c r="X61" s="412" t="str">
        <v>خیر</v>
      </c>
      <c r="Y61" s="413" t="str">
        <v>خیر</v>
      </c>
      <c r="Z61" s="430" t="str">
        <f>IF(AM61="","",IF(AM61&gt;AO61,"تثبیت نهایی",IFERROR(INDEX('برنامه خرد'!$A$2:$A$82,MATCH(AM61,'برنامه خرد'!$I$2:$I$82,0)),"تثبیت نهایی")))</f>
        <v>۱۴۰۵/۰۷/۱۹</v>
      </c>
      <c r="AA61" s="431" t="str">
        <v>۱۴۰۵/۰۷/۱۹</v>
      </c>
      <c r="AB61" s="690" t="n">
        <f>IF(AM61="","",AM61-AN61)</f>
        <v>0</v>
      </c>
      <c r="AC61" s="431" t="str">
        <f>IF(AM61="","فاقد داده",IF(AM61&gt;AO61,"انتقال به تثبیت نهایی",IF(AM61&lt;TODAY(),"عقب‌افتاده",IF(AM61=TODAY(),"سررسید امروز","آینده"))))</f>
        <v>آینده</v>
      </c>
      <c r="AD61" s="432" t="str">
        <f>IF(OR(AM61&gt;AO61,Z61="تثبیت نهایی"),"بله","خیر")</f>
        <v>خیر</v>
      </c>
      <c r="AE61" s="436" t="str">
        <v>این فرمول فقط تاریخ پیشنهادی را محاسبه می‌کند و ردیف‌های برنامهٔ روزانه را خودکار جابه‌جا نمی‌کند.</v>
      </c>
      <c r="AF61" s="1423" t="n">
        <v>46304</v>
      </c>
      <c r="AG61" s="1423" t="n">
        <v>46305</v>
      </c>
      <c r="AH61" s="1423" t="n">
        <v>46307</v>
      </c>
      <c r="AI61" s="1423" t="n">
        <v>46311</v>
      </c>
      <c r="AJ61" s="1423" t="n">
        <v>46318</v>
      </c>
      <c r="AK61" s="1423" t="n">
        <v>46332</v>
      </c>
      <c r="AL61" s="1423" t="str">
        <f>IFERROR(INDEX('برنامه خرد'!$I$2:$I$82,MATCH(Q61,'برنامه خرد'!$A$2:$A$82,0)),"")</f>
      </c>
      <c r="AM61" s="1423" t="n">
        <f>IF(AL61="",AN61,IF(T61="غلط یا کمتر از ۵۰٪",AL61+1,IF(T61="ناقص یا همراه با حدس",AL61+2,IF(T61="درست ولی کند و مردد",AL61+4,IF(T61="درست، سریع و کامل",IF(W61&gt;=2,AL61+IF(R61&lt;14,14,28),AL61+MIN(28,MAX(3,R61*2))),AN61)))))</f>
        <v>46306</v>
      </c>
      <c r="AN61" s="1423" t="n">
        <v>46306</v>
      </c>
      <c r="AO61" s="1423" t="n">
        <v>46317</v>
      </c>
    </row>
    <row r="62" ht="38" customHeight="1">
      <c r="A62" s="366" t="str">
        <v>U061</v>
      </c>
      <c r="B62" s="367" t="str">
        <v>آسیب‌شناسی روانی</v>
      </c>
      <c r="C62" s="367" t="str">
        <v>روان‌شناسی مرضی و آسیب‌شناسی</v>
      </c>
      <c r="D62" s="367" t="str">
        <v>پیوست</v>
      </c>
      <c r="E62" s="367" t="str">
        <v>آزمون‌های کارشناسی ارشد و دکتری ۱۴۰۱ تا ۱۴۰۴</v>
      </c>
      <c r="F62" s="367" t="str">
        <v>واحد مطالعه بر اساس بازهٔ صفحه</v>
      </c>
      <c r="G62" s="367" t="str">
        <v>۶۴۳ تا ۶۴۸</v>
      </c>
      <c r="H62" s="680" t="n">
        <v>6</v>
      </c>
      <c r="I62" s="367" t="str">
        <v>۱۴۰۵/۰۷/۱۷</v>
      </c>
      <c r="J62" s="683" t="n">
        <v>26.1</v>
      </c>
      <c r="K62" s="367" t="str">
        <v>۱۴۰۵/۰۷/۱۷</v>
      </c>
      <c r="L62" s="367" t="str">
        <v>۱۴۰۵/۰۷/۱۸</v>
      </c>
      <c r="M62" s="367" t="str">
        <v>۱۴۰۵/۰۷/۲۰</v>
      </c>
      <c r="N62" s="367" t="str">
        <v>۱۴۰۵/۰۷/۲۴</v>
      </c>
      <c r="O62" s="367" t="str">
        <v>تثبیت نهایی</v>
      </c>
      <c r="P62" s="367" t="str">
        <v>تثبیت نهایی</v>
      </c>
      <c r="Q62" s="411"/>
      <c r="R62" s="687" t="n">
        <v>1</v>
      </c>
      <c r="S62" s="687"/>
      <c r="T62" s="412"/>
      <c r="U62" s="412"/>
      <c r="V62" s="412"/>
      <c r="W62" s="687" t="str">
        <v>0</v>
      </c>
      <c r="X62" s="412" t="str">
        <v>خیر</v>
      </c>
      <c r="Y62" s="413" t="str">
        <v>خیر</v>
      </c>
      <c r="Z62" s="430" t="str">
        <f>IF(AM62="","",IF(AM62&gt;AO62,"تثبیت نهایی",IFERROR(INDEX('برنامه خرد'!$A$2:$A$82,MATCH(AM62,'برنامه خرد'!$I$2:$I$82,0)),"تثبیت نهایی")))</f>
        <v>۱۴۰۵/۰۷/۱۹</v>
      </c>
      <c r="AA62" s="431" t="str">
        <v>۱۴۰۵/۰۷/۱۹</v>
      </c>
      <c r="AB62" s="690" t="n">
        <f>IF(AM62="","",AM62-AN62)</f>
        <v>0</v>
      </c>
      <c r="AC62" s="431" t="str">
        <f>IF(AM62="","فاقد داده",IF(AM62&gt;AO62,"انتقال به تثبیت نهایی",IF(AM62&lt;TODAY(),"عقب‌افتاده",IF(AM62=TODAY(),"سررسید امروز","آینده"))))</f>
        <v>آینده</v>
      </c>
      <c r="AD62" s="432" t="str">
        <f>IF(OR(AM62&gt;AO62,Z62="تثبیت نهایی"),"بله","خیر")</f>
        <v>خیر</v>
      </c>
      <c r="AE62" s="436" t="str">
        <v>این فرمول فقط تاریخ پیشنهادی را محاسبه می‌کند و ردیف‌های برنامهٔ روزانه را خودکار جابه‌جا نمی‌کند.</v>
      </c>
      <c r="AF62" s="1423" t="n">
        <v>46304</v>
      </c>
      <c r="AG62" s="1423" t="n">
        <v>46305</v>
      </c>
      <c r="AH62" s="1423" t="n">
        <v>46307</v>
      </c>
      <c r="AI62" s="1423" t="n">
        <v>46311</v>
      </c>
      <c r="AJ62" s="1423" t="n">
        <v>46318</v>
      </c>
      <c r="AK62" s="1423" t="n">
        <v>46332</v>
      </c>
      <c r="AL62" s="1423" t="str">
        <f>IFERROR(INDEX('برنامه خرد'!$I$2:$I$82,MATCH(Q62,'برنامه خرد'!$A$2:$A$82,0)),"")</f>
      </c>
      <c r="AM62" s="1423" t="n">
        <f>IF(AL62="",AN62,IF(T62="غلط یا کمتر از ۵۰٪",AL62+1,IF(T62="ناقص یا همراه با حدس",AL62+2,IF(T62="درست ولی کند و مردد",AL62+4,IF(T62="درست، سریع و کامل",IF(W62&gt;=2,AL62+IF(R62&lt;14,14,28),AL62+MIN(28,MAX(3,R62*2))),AN62)))))</f>
        <v>46306</v>
      </c>
      <c r="AN62" s="1423" t="n">
        <v>46306</v>
      </c>
      <c r="AO62" s="1423" t="n">
        <v>46317</v>
      </c>
    </row>
    <row r="63" ht="38" customHeight="1">
      <c r="A63" s="280" t="str">
        <v>U062</v>
      </c>
      <c r="B63" s="281" t="str">
        <v>آسیب‌شناسی روانی</v>
      </c>
      <c r="C63" s="281" t="str">
        <v>روان‌شناسی مرضی و آسیب‌شناسی</v>
      </c>
      <c r="D63" s="281" t="str">
        <v>پیوست</v>
      </c>
      <c r="E63" s="281" t="str">
        <v>آزمون‌های کارشناسی ارشد و دکتری ۱۴۰۱ تا ۱۴۰۴</v>
      </c>
      <c r="F63" s="281" t="str">
        <v>واحد مطالعه بر اساس بازهٔ صفحه</v>
      </c>
      <c r="G63" s="281" t="str">
        <v>۶۴۹ تا ۶۶۸</v>
      </c>
      <c r="H63" s="681" t="n">
        <v>20</v>
      </c>
      <c r="I63" s="281" t="str">
        <v>۱۴۰۵/۰۷/۱۹</v>
      </c>
      <c r="J63" s="684" t="n">
        <v>87</v>
      </c>
      <c r="K63" s="281" t="str">
        <v>۱۴۰۵/۰۷/۱۹</v>
      </c>
      <c r="L63" s="281" t="str">
        <v>۱۴۰۵/۰۷/۲۰</v>
      </c>
      <c r="M63" s="281" t="str">
        <v>۱۴۰۵/۰۷/۲۲</v>
      </c>
      <c r="N63" s="281" t="str">
        <v>۱۴۰۵/۰۷/۲۶</v>
      </c>
      <c r="O63" s="281" t="str">
        <v>تثبیت نهایی</v>
      </c>
      <c r="P63" s="281" t="str">
        <v>تثبیت نهایی</v>
      </c>
      <c r="Q63" s="411"/>
      <c r="R63" s="687" t="n">
        <v>1</v>
      </c>
      <c r="S63" s="687"/>
      <c r="T63" s="412"/>
      <c r="U63" s="412"/>
      <c r="V63" s="412"/>
      <c r="W63" s="687" t="str">
        <v>0</v>
      </c>
      <c r="X63" s="412" t="str">
        <v>خیر</v>
      </c>
      <c r="Y63" s="413" t="str">
        <v>خیر</v>
      </c>
      <c r="Z63" s="430" t="str">
        <f>IF(AM63="","",IF(AM63&gt;AO63,"تثبیت نهایی",IFERROR(INDEX('برنامه خرد'!$A$2:$A$82,MATCH(AM63,'برنامه خرد'!$I$2:$I$82,0)),"تثبیت نهایی")))</f>
        <v>۱۴۰۵/۰۷/۲۱</v>
      </c>
      <c r="AA63" s="431" t="str">
        <v>۱۴۰۵/۰۷/۲۱</v>
      </c>
      <c r="AB63" s="690" t="n">
        <f>IF(AM63="","",AM63-AN63)</f>
        <v>0</v>
      </c>
      <c r="AC63" s="431" t="str">
        <f>IF(AM63="","فاقد داده",IF(AM63&gt;AO63,"انتقال به تثبیت نهایی",IF(AM63&lt;TODAY(),"عقب‌افتاده",IF(AM63=TODAY(),"سررسید امروز","آینده"))))</f>
        <v>آینده</v>
      </c>
      <c r="AD63" s="432" t="str">
        <f>IF(OR(AM63&gt;AO63,Z63="تثبیت نهایی"),"بله","خیر")</f>
        <v>خیر</v>
      </c>
      <c r="AE63" s="436" t="str">
        <v>این فرمول فقط تاریخ پیشنهادی را محاسبه می‌کند و ردیف‌های برنامهٔ روزانه را خودکار جابه‌جا نمی‌کند.</v>
      </c>
      <c r="AF63" s="1423" t="n">
        <v>46306</v>
      </c>
      <c r="AG63" s="1423" t="n">
        <v>46307</v>
      </c>
      <c r="AH63" s="1423" t="n">
        <v>46309</v>
      </c>
      <c r="AI63" s="1423" t="n">
        <v>46313</v>
      </c>
      <c r="AJ63" s="1423" t="n">
        <v>46320</v>
      </c>
      <c r="AK63" s="1423" t="n">
        <v>46334</v>
      </c>
      <c r="AL63" s="1423" t="str">
        <f>IFERROR(INDEX('برنامه خرد'!$I$2:$I$82,MATCH(Q63,'برنامه خرد'!$A$2:$A$82,0)),"")</f>
      </c>
      <c r="AM63" s="1423" t="n">
        <f>IF(AL63="",AN63,IF(T63="غلط یا کمتر از ۵۰٪",AL63+1,IF(T63="ناقص یا همراه با حدس",AL63+2,IF(T63="درست ولی کند و مردد",AL63+4,IF(T63="درست، سریع و کامل",IF(W63&gt;=2,AL63+IF(R63&lt;14,14,28),AL63+MIN(28,MAX(3,R63*2))),AN63)))))</f>
        <v>46308</v>
      </c>
      <c r="AN63" s="1423" t="n">
        <v>46308</v>
      </c>
      <c r="AO63" s="1423" t="n">
        <v>46317</v>
      </c>
    </row>
    <row r="64" ht="38" customHeight="1">
      <c r="A64" s="366" t="str">
        <v>U063</v>
      </c>
      <c r="B64" s="367" t="str">
        <v>آسیب‌شناسی روانی</v>
      </c>
      <c r="C64" s="367" t="str">
        <v>روان‌شناسی مرضی و آسیب‌شناسی</v>
      </c>
      <c r="D64" s="367" t="str">
        <v>پیوست</v>
      </c>
      <c r="E64" s="367" t="str">
        <v>آزمون‌های کارشناسی ارشد و دکتری ۱۴۰۱ تا ۱۴۰۴</v>
      </c>
      <c r="F64" s="367" t="str">
        <v>واحد مطالعه بر اساس بازهٔ صفحه</v>
      </c>
      <c r="G64" s="367" t="str">
        <v>۶۶۹ تا ۶۷۴</v>
      </c>
      <c r="H64" s="680" t="n">
        <v>6</v>
      </c>
      <c r="I64" s="367" t="str">
        <v>۱۴۰۵/۰۷/۲۱</v>
      </c>
      <c r="J64" s="683" t="n">
        <v>25</v>
      </c>
      <c r="K64" s="367" t="str">
        <v>۱۴۰۵/۰۷/۲۱</v>
      </c>
      <c r="L64" s="367" t="str">
        <v>۱۴۰۵/۰۷/۲۲</v>
      </c>
      <c r="M64" s="367" t="str">
        <v>۱۴۰۵/۰۷/۲۴</v>
      </c>
      <c r="N64" s="367" t="str">
        <v>۱۴۰۵/۰۷/۲۸</v>
      </c>
      <c r="O64" s="367" t="str">
        <v>تثبیت نهایی</v>
      </c>
      <c r="P64" s="367" t="str">
        <v>تثبیت نهایی</v>
      </c>
      <c r="Q64" s="411"/>
      <c r="R64" s="687" t="n">
        <v>1</v>
      </c>
      <c r="S64" s="687"/>
      <c r="T64" s="412"/>
      <c r="U64" s="412"/>
      <c r="V64" s="412"/>
      <c r="W64" s="687" t="str">
        <v>0</v>
      </c>
      <c r="X64" s="412" t="str">
        <v>خیر</v>
      </c>
      <c r="Y64" s="413" t="str">
        <v>خیر</v>
      </c>
      <c r="Z64" s="430" t="str">
        <f>IF(AM64="","",IF(AM64&gt;AO64,"تثبیت نهایی",IFERROR(INDEX('برنامه خرد'!$A$2:$A$82,MATCH(AM64,'برنامه خرد'!$I$2:$I$82,0)),"تثبیت نهایی")))</f>
        <v>۱۴۰۵/۰۷/۲۲</v>
      </c>
      <c r="AA64" s="431" t="str">
        <v>۱۴۰۵/۰۷/۲۲</v>
      </c>
      <c r="AB64" s="690" t="n">
        <f>IF(AM64="","",AM64-AN64)</f>
        <v>0</v>
      </c>
      <c r="AC64" s="431" t="str">
        <f>IF(AM64="","فاقد داده",IF(AM64&gt;AO64,"انتقال به تثبیت نهایی",IF(AM64&lt;TODAY(),"عقب‌افتاده",IF(AM64=TODAY(),"سررسید امروز","آینده"))))</f>
        <v>آینده</v>
      </c>
      <c r="AD64" s="432" t="str">
        <f>IF(OR(AM64&gt;AO64,Z64="تثبیت نهایی"),"بله","خیر")</f>
        <v>خیر</v>
      </c>
      <c r="AE64" s="436" t="str">
        <v>این فرمول فقط تاریخ پیشنهادی را محاسبه می‌کند و ردیف‌های برنامهٔ روزانه را خودکار جابه‌جا نمی‌کند.</v>
      </c>
      <c r="AF64" s="1423" t="n">
        <v>46308</v>
      </c>
      <c r="AG64" s="1423" t="n">
        <v>46309</v>
      </c>
      <c r="AH64" s="1423" t="n">
        <v>46311</v>
      </c>
      <c r="AI64" s="1423" t="n">
        <v>46315</v>
      </c>
      <c r="AJ64" s="1423" t="n">
        <v>46322</v>
      </c>
      <c r="AK64" s="1423" t="n">
        <v>46336</v>
      </c>
      <c r="AL64" s="1423" t="str">
        <f>IFERROR(INDEX('برنامه خرد'!$I$2:$I$82,MATCH(Q64,'برنامه خرد'!$A$2:$A$82,0)),"")</f>
      </c>
      <c r="AM64" s="1423" t="n">
        <f>IF(AL64="",AN64,IF(T64="غلط یا کمتر از ۵۰٪",AL64+1,IF(T64="ناقص یا همراه با حدس",AL64+2,IF(T64="درست ولی کند و مردد",AL64+4,IF(T64="درست، سریع و کامل",IF(W64&gt;=2,AL64+IF(R64&lt;14,14,28),AL64+MIN(28,MAX(3,R64*2))),AN64)))))</f>
        <v>46309</v>
      </c>
      <c r="AN64" s="1423" t="n">
        <v>46309</v>
      </c>
      <c r="AO64" s="1423" t="n">
        <v>46317</v>
      </c>
    </row>
    <row r="65" ht="38" customHeight="1">
      <c r="A65" s="280" t="str">
        <v>U064</v>
      </c>
      <c r="B65" s="281" t="str">
        <v>آسیب‌شناسی روانی</v>
      </c>
      <c r="C65" s="281" t="str">
        <v>روان‌شناسی مرضی و آسیب‌شناسی</v>
      </c>
      <c r="D65" s="281" t="str">
        <v>پیوست</v>
      </c>
      <c r="E65" s="281" t="str">
        <v>آزمون‌های کارشناسی ارشد و دکتری ۱۴۰۱ تا ۱۴۰۴</v>
      </c>
      <c r="F65" s="281" t="str">
        <v>واحد مطالعه بر اساس بازهٔ صفحه</v>
      </c>
      <c r="G65" s="281" t="str">
        <v>۶۷۵ تا ۶۹۴</v>
      </c>
      <c r="H65" s="681" t="n">
        <v>20</v>
      </c>
      <c r="I65" s="281" t="str">
        <v>۱۴۰۵/۰۷/۲۲</v>
      </c>
      <c r="J65" s="684" t="n">
        <v>87</v>
      </c>
      <c r="K65" s="281" t="str">
        <v>۱۴۰۵/۰۷/۲۲</v>
      </c>
      <c r="L65" s="281" t="str">
        <v>۱۴۰۵/۰۷/۲۳</v>
      </c>
      <c r="M65" s="281" t="str">
        <v>۱۴۰۵/۰۷/۲۵</v>
      </c>
      <c r="N65" s="281" t="str">
        <v>۱۴۰۵/۰۷/۲۹</v>
      </c>
      <c r="O65" s="281" t="str">
        <v>تثبیت نهایی</v>
      </c>
      <c r="P65" s="281" t="str">
        <v>تثبیت نهایی</v>
      </c>
      <c r="Q65" s="411"/>
      <c r="R65" s="687" t="n">
        <v>1</v>
      </c>
      <c r="S65" s="687"/>
      <c r="T65" s="412"/>
      <c r="U65" s="412"/>
      <c r="V65" s="412"/>
      <c r="W65" s="687" t="str">
        <v>0</v>
      </c>
      <c r="X65" s="412" t="str">
        <v>خیر</v>
      </c>
      <c r="Y65" s="413" t="str">
        <v>خیر</v>
      </c>
      <c r="Z65" s="430" t="str">
        <f>IF(AM65="","",IF(AM65&gt;AO65,"تثبیت نهایی",IFERROR(INDEX('برنامه خرد'!$A$2:$A$82,MATCH(AM65,'برنامه خرد'!$I$2:$I$82,0)),"تثبیت نهایی")))</f>
        <v>۱۴۰۵/۰۷/۲۴</v>
      </c>
      <c r="AA65" s="431" t="str">
        <v>۱۴۰۵/۰۷/۲۴</v>
      </c>
      <c r="AB65" s="690" t="n">
        <f>IF(AM65="","",AM65-AN65)</f>
        <v>0</v>
      </c>
      <c r="AC65" s="431" t="str">
        <f>IF(AM65="","فاقد داده",IF(AM65&gt;AO65,"انتقال به تثبیت نهایی",IF(AM65&lt;TODAY(),"عقب‌افتاده",IF(AM65=TODAY(),"سررسید امروز","آینده"))))</f>
        <v>آینده</v>
      </c>
      <c r="AD65" s="432" t="str">
        <f>IF(OR(AM65&gt;AO65,Z65="تثبیت نهایی"),"بله","خیر")</f>
        <v>خیر</v>
      </c>
      <c r="AE65" s="436" t="str">
        <v>این فرمول فقط تاریخ پیشنهادی را محاسبه می‌کند و ردیف‌های برنامهٔ روزانه را خودکار جابه‌جا نمی‌کند.</v>
      </c>
      <c r="AF65" s="1423" t="n">
        <v>46309</v>
      </c>
      <c r="AG65" s="1423" t="n">
        <v>46310</v>
      </c>
      <c r="AH65" s="1423" t="n">
        <v>46312</v>
      </c>
      <c r="AI65" s="1423" t="n">
        <v>46316</v>
      </c>
      <c r="AJ65" s="1423" t="n">
        <v>46323</v>
      </c>
      <c r="AK65" s="1423" t="n">
        <v>46337</v>
      </c>
      <c r="AL65" s="1423" t="str">
        <f>IFERROR(INDEX('برنامه خرد'!$I$2:$I$82,MATCH(Q65,'برنامه خرد'!$A$2:$A$82,0)),"")</f>
      </c>
      <c r="AM65" s="1423" t="n">
        <f>IF(AL65="",AN65,IF(T65="غلط یا کمتر از ۵۰٪",AL65+1,IF(T65="ناقص یا همراه با حدس",AL65+2,IF(T65="درست ولی کند و مردد",AL65+4,IF(T65="درست، سریع و کامل",IF(W65&gt;=2,AL65+IF(R65&lt;14,14,28),AL65+MIN(28,MAX(3,R65*2))),AN65)))))</f>
        <v>46311</v>
      </c>
      <c r="AN65" s="1423" t="n">
        <v>46311</v>
      </c>
      <c r="AO65" s="1423" t="n">
        <v>46317</v>
      </c>
    </row>
    <row r="66" ht="38" customHeight="1">
      <c r="A66" s="366" t="str">
        <v>U065</v>
      </c>
      <c r="B66" s="367" t="str">
        <v>نظریه‌های روان‌درمانی پروچاسکا</v>
      </c>
      <c r="C66" s="367" t="str">
        <v>نظریه‌های روان‌درمانی پروچاسکا</v>
      </c>
      <c r="D66" s="367" t="str">
        <v>1</v>
      </c>
      <c r="E66" s="367" t="str">
        <v>تعریف و مقایسه روان‌درمانی‌ها: چارچوب یکپارچه‌نگر</v>
      </c>
      <c r="F66" s="367" t="str">
        <v>واحد مطالعه بر اساس بازهٔ صفحه</v>
      </c>
      <c r="G66" s="367" t="str">
        <v>۴ تا ۱۱</v>
      </c>
      <c r="H66" s="680" t="n">
        <v>8</v>
      </c>
      <c r="I66" s="367" t="str">
        <v>۱۴۰۵/۰۵/۱۳</v>
      </c>
      <c r="J66" s="683" t="n">
        <v>25</v>
      </c>
      <c r="K66" s="367" t="str">
        <v>۱۴۰۵/۰۵/۱۳</v>
      </c>
      <c r="L66" s="367" t="str">
        <v>۱۴۰۵/۰۵/۱۴</v>
      </c>
      <c r="M66" s="367" t="str">
        <v>۱۴۰۵/۰۵/۱۶</v>
      </c>
      <c r="N66" s="367" t="str">
        <v>۱۴۰۵/۰۵/۲۰</v>
      </c>
      <c r="O66" s="367" t="str">
        <v>۱۴۰۵/۰۵/۲۷</v>
      </c>
      <c r="P66" s="367" t="str">
        <v>۱۴۰۵/۰۶/۱۰</v>
      </c>
      <c r="Q66" s="411"/>
      <c r="R66" s="687" t="n">
        <v>1</v>
      </c>
      <c r="S66" s="687"/>
      <c r="T66" s="412"/>
      <c r="U66" s="412"/>
      <c r="V66" s="412"/>
      <c r="W66" s="687" t="str">
        <v>0</v>
      </c>
      <c r="X66" s="412" t="str">
        <v>خیر</v>
      </c>
      <c r="Y66" s="413" t="str">
        <v>خیر</v>
      </c>
      <c r="Z66" s="430" t="str">
        <f>IF(AM66="","",IF(AM66&gt;AO66,"تثبیت نهایی",IFERROR(INDEX('برنامه خرد'!$A$2:$A$82,MATCH(AM66,'برنامه خرد'!$I$2:$I$82,0)),"تثبیت نهایی")))</f>
        <v>۱۴۰۵/۰۵/۱۴</v>
      </c>
      <c r="AA66" s="431" t="str">
        <v>۱۴۰۵/۰۵/۱۴</v>
      </c>
      <c r="AB66" s="690" t="n">
        <f>IF(AM66="","",AM66-AN66)</f>
        <v>0</v>
      </c>
      <c r="AC66" s="431" t="str">
        <f>IF(AM66="","فاقد داده",IF(AM66&gt;AO66,"انتقال به تثبیت نهایی",IF(AM66&lt;TODAY(),"عقب‌افتاده",IF(AM66=TODAY(),"سررسید امروز","آینده"))))</f>
        <v>آینده</v>
      </c>
      <c r="AD66" s="432" t="str">
        <f>IF(OR(AM66&gt;AO66,Z66="تثبیت نهایی"),"بله","خیر")</f>
        <v>خیر</v>
      </c>
      <c r="AE66" s="436" t="str">
        <v>این فرمول فقط تاریخ پیشنهادی را محاسبه می‌کند و ردیف‌های برنامهٔ روزانه را خودکار جابه‌جا نمی‌کند.</v>
      </c>
      <c r="AF66" s="1423" t="n">
        <v>46238</v>
      </c>
      <c r="AG66" s="1423" t="n">
        <v>46239</v>
      </c>
      <c r="AH66" s="1423" t="n">
        <v>46241</v>
      </c>
      <c r="AI66" s="1423" t="n">
        <v>46245</v>
      </c>
      <c r="AJ66" s="1423" t="n">
        <v>46252</v>
      </c>
      <c r="AK66" s="1423" t="n">
        <v>46266</v>
      </c>
      <c r="AL66" s="1423" t="str">
        <f>IFERROR(INDEX('برنامه خرد'!$I$2:$I$82,MATCH(Q66,'برنامه خرد'!$A$2:$A$82,0)),"")</f>
      </c>
      <c r="AM66" s="1423" t="n">
        <f>IF(AL66="",AN66,IF(T66="غلط یا کمتر از ۵۰٪",AL66+1,IF(T66="ناقص یا همراه با حدس",AL66+2,IF(T66="درست ولی کند و مردد",AL66+4,IF(T66="درست، سریع و کامل",IF(W66&gt;=2,AL66+IF(R66&lt;14,14,28),AL66+MIN(28,MAX(3,R66*2))),AN66)))))</f>
        <v>46239</v>
      </c>
      <c r="AN66" s="1423" t="n">
        <v>46239</v>
      </c>
      <c r="AO66" s="1423" t="n">
        <v>46317</v>
      </c>
    </row>
    <row r="67" ht="38" customHeight="1">
      <c r="A67" s="280" t="str">
        <v>U066</v>
      </c>
      <c r="B67" s="281" t="str">
        <v>نظریه‌های روان‌درمانی پروچاسکا</v>
      </c>
      <c r="C67" s="281" t="str">
        <v>نظریه‌های روان‌درمانی پروچاسکا</v>
      </c>
      <c r="D67" s="281" t="str">
        <v>1</v>
      </c>
      <c r="E67" s="281" t="str">
        <v>تعریف و مقایسه روان‌درمانی‌ها: چارچوب یکپارچه‌نگر</v>
      </c>
      <c r="F67" s="281" t="str">
        <v>واحد مطالعه بر اساس بازهٔ صفحه</v>
      </c>
      <c r="G67" s="281" t="str">
        <v>۱۲ تا ۱۹</v>
      </c>
      <c r="H67" s="681" t="n">
        <v>8</v>
      </c>
      <c r="I67" s="281" t="str">
        <v>۱۴۰۵/۰۵/۱۴</v>
      </c>
      <c r="J67" s="684" t="n">
        <v>25</v>
      </c>
      <c r="K67" s="281" t="str">
        <v>۱۴۰۵/۰۵/۱۴</v>
      </c>
      <c r="L67" s="281" t="str">
        <v>۱۴۰۵/۰۵/۱۵</v>
      </c>
      <c r="M67" s="281" t="str">
        <v>۱۴۰۵/۰۵/۱۷</v>
      </c>
      <c r="N67" s="281" t="str">
        <v>۱۴۰۵/۰۵/۲۱</v>
      </c>
      <c r="O67" s="281" t="str">
        <v>۱۴۰۵/۰۵/۲۸</v>
      </c>
      <c r="P67" s="281" t="str">
        <v>۱۴۰۵/۰۶/۱۱</v>
      </c>
      <c r="Q67" s="411"/>
      <c r="R67" s="687" t="n">
        <v>1</v>
      </c>
      <c r="S67" s="687"/>
      <c r="T67" s="412"/>
      <c r="U67" s="412"/>
      <c r="V67" s="412"/>
      <c r="W67" s="687" t="str">
        <v>0</v>
      </c>
      <c r="X67" s="412" t="str">
        <v>خیر</v>
      </c>
      <c r="Y67" s="413" t="str">
        <v>خیر</v>
      </c>
      <c r="Z67" s="430" t="str">
        <f>IF(AM67="","",IF(AM67&gt;AO67,"تثبیت نهایی",IFERROR(INDEX('برنامه خرد'!$A$2:$A$82,MATCH(AM67,'برنامه خرد'!$I$2:$I$82,0)),"تثبیت نهایی")))</f>
        <v>۱۴۰۵/۰۵/۱۵</v>
      </c>
      <c r="AA67" s="431" t="str">
        <v>۱۴۰۵/۰۵/۱۵</v>
      </c>
      <c r="AB67" s="690" t="n">
        <f>IF(AM67="","",AM67-AN67)</f>
        <v>0</v>
      </c>
      <c r="AC67" s="431" t="str">
        <f>IF(AM67="","فاقد داده",IF(AM67&gt;AO67,"انتقال به تثبیت نهایی",IF(AM67&lt;TODAY(),"عقب‌افتاده",IF(AM67=TODAY(),"سررسید امروز","آینده"))))</f>
        <v>آینده</v>
      </c>
      <c r="AD67" s="432" t="str">
        <f>IF(OR(AM67&gt;AO67,Z67="تثبیت نهایی"),"بله","خیر")</f>
        <v>خیر</v>
      </c>
      <c r="AE67" s="436" t="str">
        <v>این فرمول فقط تاریخ پیشنهادی را محاسبه می‌کند و ردیف‌های برنامهٔ روزانه را خودکار جابه‌جا نمی‌کند.</v>
      </c>
      <c r="AF67" s="1423" t="n">
        <v>46239</v>
      </c>
      <c r="AG67" s="1423" t="n">
        <v>46240</v>
      </c>
      <c r="AH67" s="1423" t="n">
        <v>46242</v>
      </c>
      <c r="AI67" s="1423" t="n">
        <v>46246</v>
      </c>
      <c r="AJ67" s="1423" t="n">
        <v>46253</v>
      </c>
      <c r="AK67" s="1423" t="n">
        <v>46267</v>
      </c>
      <c r="AL67" s="1423" t="str">
        <f>IFERROR(INDEX('برنامه خرد'!$I$2:$I$82,MATCH(Q67,'برنامه خرد'!$A$2:$A$82,0)),"")</f>
      </c>
      <c r="AM67" s="1423" t="n">
        <f>IF(AL67="",AN67,IF(T67="غلط یا کمتر از ۵۰٪",AL67+1,IF(T67="ناقص یا همراه با حدس",AL67+2,IF(T67="درست ولی کند و مردد",AL67+4,IF(T67="درست، سریع و کامل",IF(W67&gt;=2,AL67+IF(R67&lt;14,14,28),AL67+MIN(28,MAX(3,R67*2))),AN67)))))</f>
        <v>46240</v>
      </c>
      <c r="AN67" s="1423" t="n">
        <v>46240</v>
      </c>
      <c r="AO67" s="1423" t="n">
        <v>46317</v>
      </c>
    </row>
    <row r="68" ht="38" customHeight="1">
      <c r="A68" s="366" t="str">
        <v>U067</v>
      </c>
      <c r="B68" s="367" t="str">
        <v>نظریه‌های روان‌درمانی پروچاسکا</v>
      </c>
      <c r="C68" s="367" t="str">
        <v>نظریه‌های روان‌درمانی پروچاسکا</v>
      </c>
      <c r="D68" s="367" t="str">
        <v>1</v>
      </c>
      <c r="E68" s="367" t="str">
        <v>تعریف و مقایسه روان‌درمانی‌ها: چارچوب یکپارچه‌نگر</v>
      </c>
      <c r="F68" s="367" t="str">
        <v>واحد مطالعه بر اساس بازهٔ صفحه</v>
      </c>
      <c r="G68" s="367" t="str">
        <v>۲۰ تا ۳۴</v>
      </c>
      <c r="H68" s="680" t="n">
        <v>15</v>
      </c>
      <c r="I68" s="367" t="str">
        <v>۱۴۰۵/۰۵/۱۵</v>
      </c>
      <c r="J68" s="683" t="n">
        <v>46.6</v>
      </c>
      <c r="K68" s="367" t="str">
        <v>۱۴۰۵/۰۵/۱۵</v>
      </c>
      <c r="L68" s="367" t="str">
        <v>۱۴۰۵/۰۵/۱۶</v>
      </c>
      <c r="M68" s="367" t="str">
        <v>۱۴۰۵/۰۵/۱۸</v>
      </c>
      <c r="N68" s="367" t="str">
        <v>۱۴۰۵/۰۵/۲۲</v>
      </c>
      <c r="O68" s="367" t="str">
        <v>۱۴۰۵/۰۵/۲۹</v>
      </c>
      <c r="P68" s="367" t="str">
        <v>۱۴۰۵/۰۶/۱۲</v>
      </c>
      <c r="Q68" s="411"/>
      <c r="R68" s="687" t="n">
        <v>1</v>
      </c>
      <c r="S68" s="687"/>
      <c r="T68" s="412"/>
      <c r="U68" s="412"/>
      <c r="V68" s="412"/>
      <c r="W68" s="687" t="str">
        <v>0</v>
      </c>
      <c r="X68" s="412" t="str">
        <v>خیر</v>
      </c>
      <c r="Y68" s="413" t="str">
        <v>خیر</v>
      </c>
      <c r="Z68" s="430" t="str">
        <f>IF(AM68="","",IF(AM68&gt;AO68,"تثبیت نهایی",IFERROR(INDEX('برنامه خرد'!$A$2:$A$82,MATCH(AM68,'برنامه خرد'!$I$2:$I$82,0)),"تثبیت نهایی")))</f>
        <v>۱۴۰۵/۰۵/۱۷</v>
      </c>
      <c r="AA68" s="431" t="str">
        <v>۱۴۰۵/۰۵/۱۷</v>
      </c>
      <c r="AB68" s="690" t="n">
        <f>IF(AM68="","",AM68-AN68)</f>
        <v>0</v>
      </c>
      <c r="AC68" s="431" t="str">
        <f>IF(AM68="","فاقد داده",IF(AM68&gt;AO68,"انتقال به تثبیت نهایی",IF(AM68&lt;TODAY(),"عقب‌افتاده",IF(AM68=TODAY(),"سررسید امروز","آینده"))))</f>
        <v>آینده</v>
      </c>
      <c r="AD68" s="432" t="str">
        <f>IF(OR(AM68&gt;AO68,Z68="تثبیت نهایی"),"بله","خیر")</f>
        <v>خیر</v>
      </c>
      <c r="AE68" s="436" t="str">
        <v>این فرمول فقط تاریخ پیشنهادی را محاسبه می‌کند و ردیف‌های برنامهٔ روزانه را خودکار جابه‌جا نمی‌کند.</v>
      </c>
      <c r="AF68" s="1423" t="n">
        <v>46240</v>
      </c>
      <c r="AG68" s="1423" t="n">
        <v>46241</v>
      </c>
      <c r="AH68" s="1423" t="n">
        <v>46243</v>
      </c>
      <c r="AI68" s="1423" t="n">
        <v>46247</v>
      </c>
      <c r="AJ68" s="1423" t="n">
        <v>46254</v>
      </c>
      <c r="AK68" s="1423" t="n">
        <v>46268</v>
      </c>
      <c r="AL68" s="1423" t="str">
        <f>IFERROR(INDEX('برنامه خرد'!$I$2:$I$82,MATCH(Q68,'برنامه خرد'!$A$2:$A$82,0)),"")</f>
      </c>
      <c r="AM68" s="1423" t="n">
        <f>IF(AL68="",AN68,IF(T68="غلط یا کمتر از ۵۰٪",AL68+1,IF(T68="ناقص یا همراه با حدس",AL68+2,IF(T68="درست ولی کند و مردد",AL68+4,IF(T68="درست، سریع و کامل",IF(W68&gt;=2,AL68+IF(R68&lt;14,14,28),AL68+MIN(28,MAX(3,R68*2))),AN68)))))</f>
        <v>46242</v>
      </c>
      <c r="AN68" s="1423" t="n">
        <v>46242</v>
      </c>
      <c r="AO68" s="1423" t="n">
        <v>46317</v>
      </c>
    </row>
    <row r="69" ht="38" customHeight="1">
      <c r="A69" s="280" t="str">
        <v>U068</v>
      </c>
      <c r="B69" s="281" t="str">
        <v>نظریه‌های روان‌درمانی پروچاسکا</v>
      </c>
      <c r="C69" s="281" t="str">
        <v>نظریه‌های روان‌درمانی پروچاسکا</v>
      </c>
      <c r="D69" s="281" t="str">
        <v>2</v>
      </c>
      <c r="E69" s="281" t="str">
        <v>درمان‌های روان‌کاوی</v>
      </c>
      <c r="F69" s="281" t="str">
        <v>واحد مطالعه بر اساس بازهٔ صفحه</v>
      </c>
      <c r="G69" s="281" t="str">
        <v>۳۵ تا ۴۷</v>
      </c>
      <c r="H69" s="681" t="n">
        <v>13</v>
      </c>
      <c r="I69" s="281" t="str">
        <v>۱۴۰۵/۰۵/۱۵</v>
      </c>
      <c r="J69" s="684" t="n">
        <v>40.4</v>
      </c>
      <c r="K69" s="281" t="str">
        <v>۱۴۰۵/۰۵/۱۵</v>
      </c>
      <c r="L69" s="281" t="str">
        <v>۱۴۰۵/۰۵/۱۶</v>
      </c>
      <c r="M69" s="281" t="str">
        <v>۱۴۰۵/۰۵/۱۸</v>
      </c>
      <c r="N69" s="281" t="str">
        <v>۱۴۰۵/۰۵/۲۲</v>
      </c>
      <c r="O69" s="281" t="str">
        <v>۱۴۰۵/۰۵/۲۹</v>
      </c>
      <c r="P69" s="281" t="str">
        <v>۱۴۰۵/۰۶/۱۲</v>
      </c>
      <c r="Q69" s="411"/>
      <c r="R69" s="687" t="n">
        <v>1</v>
      </c>
      <c r="S69" s="687"/>
      <c r="T69" s="412"/>
      <c r="U69" s="412"/>
      <c r="V69" s="412"/>
      <c r="W69" s="687" t="str">
        <v>0</v>
      </c>
      <c r="X69" s="412" t="str">
        <v>خیر</v>
      </c>
      <c r="Y69" s="413" t="str">
        <v>خیر</v>
      </c>
      <c r="Z69" s="430" t="str">
        <f>IF(AM69="","",IF(AM69&gt;AO69,"تثبیت نهایی",IFERROR(INDEX('برنامه خرد'!$A$2:$A$82,MATCH(AM69,'برنامه خرد'!$I$2:$I$82,0)),"تثبیت نهایی")))</f>
        <v>۱۴۰۵/۰۵/۱۷</v>
      </c>
      <c r="AA69" s="431" t="str">
        <v>۱۴۰۵/۰۵/۱۷</v>
      </c>
      <c r="AB69" s="690" t="n">
        <f>IF(AM69="","",AM69-AN69)</f>
        <v>0</v>
      </c>
      <c r="AC69" s="431" t="str">
        <f>IF(AM69="","فاقد داده",IF(AM69&gt;AO69,"انتقال به تثبیت نهایی",IF(AM69&lt;TODAY(),"عقب‌افتاده",IF(AM69=TODAY(),"سررسید امروز","آینده"))))</f>
        <v>آینده</v>
      </c>
      <c r="AD69" s="432" t="str">
        <f>IF(OR(AM69&gt;AO69,Z69="تثبیت نهایی"),"بله","خیر")</f>
        <v>خیر</v>
      </c>
      <c r="AE69" s="436" t="str">
        <v>این فرمول فقط تاریخ پیشنهادی را محاسبه می‌کند و ردیف‌های برنامهٔ روزانه را خودکار جابه‌جا نمی‌کند.</v>
      </c>
      <c r="AF69" s="1423" t="n">
        <v>46240</v>
      </c>
      <c r="AG69" s="1423" t="n">
        <v>46241</v>
      </c>
      <c r="AH69" s="1423" t="n">
        <v>46243</v>
      </c>
      <c r="AI69" s="1423" t="n">
        <v>46247</v>
      </c>
      <c r="AJ69" s="1423" t="n">
        <v>46254</v>
      </c>
      <c r="AK69" s="1423" t="n">
        <v>46268</v>
      </c>
      <c r="AL69" s="1423" t="str">
        <f>IFERROR(INDEX('برنامه خرد'!$I$2:$I$82,MATCH(Q69,'برنامه خرد'!$A$2:$A$82,0)),"")</f>
      </c>
      <c r="AM69" s="1423" t="n">
        <f>IF(AL69="",AN69,IF(T69="غلط یا کمتر از ۵۰٪",AL69+1,IF(T69="ناقص یا همراه با حدس",AL69+2,IF(T69="درست ولی کند و مردد",AL69+4,IF(T69="درست، سریع و کامل",IF(W69&gt;=2,AL69+IF(R69&lt;14,14,28),AL69+MIN(28,MAX(3,R69*2))),AN69)))))</f>
        <v>46242</v>
      </c>
      <c r="AN69" s="1423" t="n">
        <v>46242</v>
      </c>
      <c r="AO69" s="1423" t="n">
        <v>46317</v>
      </c>
    </row>
    <row r="70" ht="38" customHeight="1">
      <c r="A70" s="366" t="str">
        <v>U069</v>
      </c>
      <c r="B70" s="367" t="str">
        <v>نظریه‌های روان‌درمانی پروچاسکا</v>
      </c>
      <c r="C70" s="367" t="str">
        <v>نظریه‌های روان‌درمانی پروچاسکا</v>
      </c>
      <c r="D70" s="367" t="str">
        <v>2</v>
      </c>
      <c r="E70" s="367" t="str">
        <v>درمان‌های روان‌کاوی</v>
      </c>
      <c r="F70" s="367" t="str">
        <v>واحد مطالعه بر اساس بازهٔ صفحه</v>
      </c>
      <c r="G70" s="367" t="str">
        <v>۴۸ تا ۷۵</v>
      </c>
      <c r="H70" s="680" t="n">
        <v>28</v>
      </c>
      <c r="I70" s="367" t="str">
        <v>۱۴۰۵/۰۵/۱۷</v>
      </c>
      <c r="J70" s="683" t="n">
        <v>87</v>
      </c>
      <c r="K70" s="367" t="str">
        <v>۱۴۰۵/۰۵/۱۷</v>
      </c>
      <c r="L70" s="367" t="str">
        <v>۱۴۰۵/۰۵/۱۸</v>
      </c>
      <c r="M70" s="367" t="str">
        <v>۱۴۰۵/۰۵/۲۰</v>
      </c>
      <c r="N70" s="367" t="str">
        <v>۱۴۰۵/۰۵/۲۴</v>
      </c>
      <c r="O70" s="367" t="str">
        <v>۱۴۰۵/۰۵/۳۱</v>
      </c>
      <c r="P70" s="367" t="str">
        <v>۱۴۰۵/۰۶/۱۴</v>
      </c>
      <c r="Q70" s="411"/>
      <c r="R70" s="687" t="n">
        <v>1</v>
      </c>
      <c r="S70" s="687"/>
      <c r="T70" s="412"/>
      <c r="U70" s="412"/>
      <c r="V70" s="412"/>
      <c r="W70" s="687" t="str">
        <v>0</v>
      </c>
      <c r="X70" s="412" t="str">
        <v>خیر</v>
      </c>
      <c r="Y70" s="413" t="str">
        <v>خیر</v>
      </c>
      <c r="Z70" s="430" t="str">
        <f>IF(AM70="","",IF(AM70&gt;AO70,"تثبیت نهایی",IFERROR(INDEX('برنامه خرد'!$A$2:$A$82,MATCH(AM70,'برنامه خرد'!$I$2:$I$82,0)),"تثبیت نهایی")))</f>
        <v>۱۴۰۵/۰۵/۱۸</v>
      </c>
      <c r="AA70" s="431" t="str">
        <v>۱۴۰۵/۰۵/۱۸</v>
      </c>
      <c r="AB70" s="690" t="n">
        <f>IF(AM70="","",AM70-AN70)</f>
        <v>0</v>
      </c>
      <c r="AC70" s="431" t="str">
        <f>IF(AM70="","فاقد داده",IF(AM70&gt;AO70,"انتقال به تثبیت نهایی",IF(AM70&lt;TODAY(),"عقب‌افتاده",IF(AM70=TODAY(),"سررسید امروز","آینده"))))</f>
        <v>آینده</v>
      </c>
      <c r="AD70" s="432" t="str">
        <f>IF(OR(AM70&gt;AO70,Z70="تثبیت نهایی"),"بله","خیر")</f>
        <v>خیر</v>
      </c>
      <c r="AE70" s="436" t="str">
        <v>این فرمول فقط تاریخ پیشنهادی را محاسبه می‌کند و ردیف‌های برنامهٔ روزانه را خودکار جابه‌جا نمی‌کند.</v>
      </c>
      <c r="AF70" s="1423" t="n">
        <v>46242</v>
      </c>
      <c r="AG70" s="1423" t="n">
        <v>46243</v>
      </c>
      <c r="AH70" s="1423" t="n">
        <v>46245</v>
      </c>
      <c r="AI70" s="1423" t="n">
        <v>46249</v>
      </c>
      <c r="AJ70" s="1423" t="n">
        <v>46256</v>
      </c>
      <c r="AK70" s="1423" t="n">
        <v>46270</v>
      </c>
      <c r="AL70" s="1423" t="str">
        <f>IFERROR(INDEX('برنامه خرد'!$I$2:$I$82,MATCH(Q70,'برنامه خرد'!$A$2:$A$82,0)),"")</f>
      </c>
      <c r="AM70" s="1423" t="n">
        <f>IF(AL70="",AN70,IF(T70="غلط یا کمتر از ۵۰٪",AL70+1,IF(T70="ناقص یا همراه با حدس",AL70+2,IF(T70="درست ولی کند و مردد",AL70+4,IF(T70="درست، سریع و کامل",IF(W70&gt;=2,AL70+IF(R70&lt;14,14,28),AL70+MIN(28,MAX(3,R70*2))),AN70)))))</f>
        <v>46243</v>
      </c>
      <c r="AN70" s="1423" t="n">
        <v>46243</v>
      </c>
      <c r="AO70" s="1423" t="n">
        <v>46317</v>
      </c>
    </row>
    <row r="71" ht="38" customHeight="1">
      <c r="A71" s="280" t="str">
        <v>U070</v>
      </c>
      <c r="B71" s="281" t="str">
        <v>نظریه‌های روان‌درمانی پروچاسکا</v>
      </c>
      <c r="C71" s="281" t="str">
        <v>نظریه‌های روان‌درمانی پروچاسکا</v>
      </c>
      <c r="D71" s="281" t="str">
        <v>2</v>
      </c>
      <c r="E71" s="281" t="str">
        <v>درمان‌های روان‌کاوی</v>
      </c>
      <c r="F71" s="281" t="str">
        <v>واحد مطالعه بر اساس بازهٔ صفحه</v>
      </c>
      <c r="G71" s="281" t="str">
        <v>۷۶ تا ۸۳</v>
      </c>
      <c r="H71" s="681" t="n">
        <v>8</v>
      </c>
      <c r="I71" s="281" t="str">
        <v>۱۴۰۵/۰۵/۱۸</v>
      </c>
      <c r="J71" s="684" t="n">
        <v>25</v>
      </c>
      <c r="K71" s="281" t="str">
        <v>۱۴۰۵/۰۵/۱۸</v>
      </c>
      <c r="L71" s="281" t="str">
        <v>۱۴۰۵/۰۵/۱۹</v>
      </c>
      <c r="M71" s="281" t="str">
        <v>۱۴۰۵/۰۵/۲۱</v>
      </c>
      <c r="N71" s="281" t="str">
        <v>۱۴۰۵/۰۵/۲۵</v>
      </c>
      <c r="O71" s="281" t="str">
        <v>۱۴۰۵/۰۶/۰۱</v>
      </c>
      <c r="P71" s="281" t="str">
        <v>۱۴۰۵/۰۶/۱۵</v>
      </c>
      <c r="Q71" s="411"/>
      <c r="R71" s="687" t="n">
        <v>1</v>
      </c>
      <c r="S71" s="687"/>
      <c r="T71" s="412"/>
      <c r="U71" s="412"/>
      <c r="V71" s="412"/>
      <c r="W71" s="687" t="str">
        <v>0</v>
      </c>
      <c r="X71" s="412" t="str">
        <v>خیر</v>
      </c>
      <c r="Y71" s="413" t="str">
        <v>خیر</v>
      </c>
      <c r="Z71" s="430" t="str">
        <f>IF(AM71="","",IF(AM71&gt;AO71,"تثبیت نهایی",IFERROR(INDEX('برنامه خرد'!$A$2:$A$82,MATCH(AM71,'برنامه خرد'!$I$2:$I$82,0)),"تثبیت نهایی")))</f>
        <v>۱۴۰۵/۰۵/۱۹</v>
      </c>
      <c r="AA71" s="431" t="str">
        <v>۱۴۰۵/۰۵/۱۹</v>
      </c>
      <c r="AB71" s="690" t="n">
        <f>IF(AM71="","",AM71-AN71)</f>
        <v>0</v>
      </c>
      <c r="AC71" s="431" t="str">
        <f>IF(AM71="","فاقد داده",IF(AM71&gt;AO71,"انتقال به تثبیت نهایی",IF(AM71&lt;TODAY(),"عقب‌افتاده",IF(AM71=TODAY(),"سررسید امروز","آینده"))))</f>
        <v>آینده</v>
      </c>
      <c r="AD71" s="432" t="str">
        <f>IF(OR(AM71&gt;AO71,Z71="تثبیت نهایی"),"بله","خیر")</f>
        <v>خیر</v>
      </c>
      <c r="AE71" s="436" t="str">
        <v>این فرمول فقط تاریخ پیشنهادی را محاسبه می‌کند و ردیف‌های برنامهٔ روزانه را خودکار جابه‌جا نمی‌کند.</v>
      </c>
      <c r="AF71" s="1423" t="n">
        <v>46243</v>
      </c>
      <c r="AG71" s="1423" t="n">
        <v>46244</v>
      </c>
      <c r="AH71" s="1423" t="n">
        <v>46246</v>
      </c>
      <c r="AI71" s="1423" t="n">
        <v>46250</v>
      </c>
      <c r="AJ71" s="1423" t="n">
        <v>46257</v>
      </c>
      <c r="AK71" s="1423" t="n">
        <v>46271</v>
      </c>
      <c r="AL71" s="1423" t="str">
        <f>IFERROR(INDEX('برنامه خرد'!$I$2:$I$82,MATCH(Q71,'برنامه خرد'!$A$2:$A$82,0)),"")</f>
      </c>
      <c r="AM71" s="1423" t="n">
        <f>IF(AL71="",AN71,IF(T71="غلط یا کمتر از ۵۰٪",AL71+1,IF(T71="ناقص یا همراه با حدس",AL71+2,IF(T71="درست ولی کند و مردد",AL71+4,IF(T71="درست، سریع و کامل",IF(W71&gt;=2,AL71+IF(R71&lt;14,14,28),AL71+MIN(28,MAX(3,R71*2))),AN71)))))</f>
        <v>46244</v>
      </c>
      <c r="AN71" s="1423" t="n">
        <v>46244</v>
      </c>
      <c r="AO71" s="1423" t="n">
        <v>46317</v>
      </c>
    </row>
    <row r="72" ht="38" customHeight="1">
      <c r="A72" s="366" t="str">
        <v>U071</v>
      </c>
      <c r="B72" s="367" t="str">
        <v>نظریه‌های روان‌درمانی پروچاسکا</v>
      </c>
      <c r="C72" s="367" t="str">
        <v>نظریه‌های روان‌درمانی پروچاسکا</v>
      </c>
      <c r="D72" s="367" t="str">
        <v>2</v>
      </c>
      <c r="E72" s="367" t="str">
        <v>درمان‌های روان‌کاوی</v>
      </c>
      <c r="F72" s="367" t="str">
        <v>واحد مطالعه بر اساس بازهٔ صفحه</v>
      </c>
      <c r="G72" s="367" t="str">
        <v>۸۴ تا ۹۰</v>
      </c>
      <c r="H72" s="680" t="n">
        <v>7</v>
      </c>
      <c r="I72" s="367" t="str">
        <v>۱۴۰۵/۰۵/۱۹</v>
      </c>
      <c r="J72" s="683" t="n">
        <v>21.8</v>
      </c>
      <c r="K72" s="367" t="str">
        <v>۱۴۰۵/۰۵/۱۹</v>
      </c>
      <c r="L72" s="367" t="str">
        <v>۱۴۰۵/۰۵/۲۰</v>
      </c>
      <c r="M72" s="367" t="str">
        <v>۱۴۰۵/۰۵/۲۲</v>
      </c>
      <c r="N72" s="367" t="str">
        <v>۱۴۰۵/۰۵/۲۶</v>
      </c>
      <c r="O72" s="367" t="str">
        <v>۱۴۰۵/۰۶/۰۲</v>
      </c>
      <c r="P72" s="367" t="str">
        <v>۱۴۰۵/۰۶/۱۶</v>
      </c>
      <c r="Q72" s="411"/>
      <c r="R72" s="687" t="n">
        <v>1</v>
      </c>
      <c r="S72" s="687"/>
      <c r="T72" s="412"/>
      <c r="U72" s="412"/>
      <c r="V72" s="412"/>
      <c r="W72" s="687" t="str">
        <v>0</v>
      </c>
      <c r="X72" s="412" t="str">
        <v>خیر</v>
      </c>
      <c r="Y72" s="413" t="str">
        <v>خیر</v>
      </c>
      <c r="Z72" s="430" t="str">
        <f>IF(AM72="","",IF(AM72&gt;AO72,"تثبیت نهایی",IFERROR(INDEX('برنامه خرد'!$A$2:$A$82,MATCH(AM72,'برنامه خرد'!$I$2:$I$82,0)),"تثبیت نهایی")))</f>
        <v>۱۴۰۵/۰۵/۲۱</v>
      </c>
      <c r="AA72" s="431" t="str">
        <v>۱۴۰۵/۰۵/۲۱</v>
      </c>
      <c r="AB72" s="690" t="n">
        <f>IF(AM72="","",AM72-AN72)</f>
        <v>0</v>
      </c>
      <c r="AC72" s="431" t="str">
        <f>IF(AM72="","فاقد داده",IF(AM72&gt;AO72,"انتقال به تثبیت نهایی",IF(AM72&lt;TODAY(),"عقب‌افتاده",IF(AM72=TODAY(),"سررسید امروز","آینده"))))</f>
        <v>آینده</v>
      </c>
      <c r="AD72" s="432" t="str">
        <f>IF(OR(AM72&gt;AO72,Z72="تثبیت نهایی"),"بله","خیر")</f>
        <v>خیر</v>
      </c>
      <c r="AE72" s="436" t="str">
        <v>این فرمول فقط تاریخ پیشنهادی را محاسبه می‌کند و ردیف‌های برنامهٔ روزانه را خودکار جابه‌جا نمی‌کند.</v>
      </c>
      <c r="AF72" s="1423" t="n">
        <v>46244</v>
      </c>
      <c r="AG72" s="1423" t="n">
        <v>46245</v>
      </c>
      <c r="AH72" s="1423" t="n">
        <v>46247</v>
      </c>
      <c r="AI72" s="1423" t="n">
        <v>46251</v>
      </c>
      <c r="AJ72" s="1423" t="n">
        <v>46258</v>
      </c>
      <c r="AK72" s="1423" t="n">
        <v>46272</v>
      </c>
      <c r="AL72" s="1423" t="str">
        <f>IFERROR(INDEX('برنامه خرد'!$I$2:$I$82,MATCH(Q72,'برنامه خرد'!$A$2:$A$82,0)),"")</f>
      </c>
      <c r="AM72" s="1423" t="n">
        <f>IF(AL72="",AN72,IF(T72="غلط یا کمتر از ۵۰٪",AL72+1,IF(T72="ناقص یا همراه با حدس",AL72+2,IF(T72="درست ولی کند و مردد",AL72+4,IF(T72="درست، سریع و کامل",IF(W72&gt;=2,AL72+IF(R72&lt;14,14,28),AL72+MIN(28,MAX(3,R72*2))),AN72)))))</f>
        <v>46246</v>
      </c>
      <c r="AN72" s="1423" t="n">
        <v>46246</v>
      </c>
      <c r="AO72" s="1423" t="n">
        <v>46317</v>
      </c>
    </row>
    <row r="73" ht="38" customHeight="1">
      <c r="A73" s="280" t="str">
        <v>U072</v>
      </c>
      <c r="B73" s="281" t="str">
        <v>نظریه‌های روان‌درمانی پروچاسکا</v>
      </c>
      <c r="C73" s="281" t="str">
        <v>نظریه‌های روان‌درمانی پروچاسکا</v>
      </c>
      <c r="D73" s="281" t="str">
        <v>3</v>
      </c>
      <c r="E73" s="281" t="str">
        <v>درمان‌های روان‌پویشی</v>
      </c>
      <c r="F73" s="281" t="str">
        <v>واحد مطالعه بر اساس بازهٔ صفحه</v>
      </c>
      <c r="G73" s="281" t="str">
        <v>۹۱ تا ۱۱۱</v>
      </c>
      <c r="H73" s="681" t="n">
        <v>21</v>
      </c>
      <c r="I73" s="281" t="str">
        <v>۱۴۰۵/۰۵/۱۹</v>
      </c>
      <c r="J73" s="684" t="n">
        <v>65.2</v>
      </c>
      <c r="K73" s="281" t="str">
        <v>۱۴۰۵/۰۵/۱۹</v>
      </c>
      <c r="L73" s="281" t="str">
        <v>۱۴۰۵/۰۵/۲۰</v>
      </c>
      <c r="M73" s="281" t="str">
        <v>۱۴۰۵/۰۵/۲۲</v>
      </c>
      <c r="N73" s="281" t="str">
        <v>۱۴۰۵/۰۵/۲۶</v>
      </c>
      <c r="O73" s="281" t="str">
        <v>۱۴۰۵/۰۶/۰۲</v>
      </c>
      <c r="P73" s="281" t="str">
        <v>۱۴۰۵/۰۶/۱۶</v>
      </c>
      <c r="Q73" s="411"/>
      <c r="R73" s="687" t="n">
        <v>1</v>
      </c>
      <c r="S73" s="687"/>
      <c r="T73" s="412"/>
      <c r="U73" s="412"/>
      <c r="V73" s="412"/>
      <c r="W73" s="687" t="str">
        <v>0</v>
      </c>
      <c r="X73" s="412" t="str">
        <v>خیر</v>
      </c>
      <c r="Y73" s="413" t="str">
        <v>خیر</v>
      </c>
      <c r="Z73" s="430" t="str">
        <f>IF(AM73="","",IF(AM73&gt;AO73,"تثبیت نهایی",IFERROR(INDEX('برنامه خرد'!$A$2:$A$82,MATCH(AM73,'برنامه خرد'!$I$2:$I$82,0)),"تثبیت نهایی")))</f>
        <v>۱۴۰۵/۰۵/۲۱</v>
      </c>
      <c r="AA73" s="431" t="str">
        <v>۱۴۰۵/۰۵/۲۱</v>
      </c>
      <c r="AB73" s="690" t="n">
        <f>IF(AM73="","",AM73-AN73)</f>
        <v>0</v>
      </c>
      <c r="AC73" s="431" t="str">
        <f>IF(AM73="","فاقد داده",IF(AM73&gt;AO73,"انتقال به تثبیت نهایی",IF(AM73&lt;TODAY(),"عقب‌افتاده",IF(AM73=TODAY(),"سررسید امروز","آینده"))))</f>
        <v>آینده</v>
      </c>
      <c r="AD73" s="432" t="str">
        <f>IF(OR(AM73&gt;AO73,Z73="تثبیت نهایی"),"بله","خیر")</f>
        <v>خیر</v>
      </c>
      <c r="AE73" s="436" t="str">
        <v>این فرمول فقط تاریخ پیشنهادی را محاسبه می‌کند و ردیف‌های برنامهٔ روزانه را خودکار جابه‌جا نمی‌کند.</v>
      </c>
      <c r="AF73" s="1423" t="n">
        <v>46244</v>
      </c>
      <c r="AG73" s="1423" t="n">
        <v>46245</v>
      </c>
      <c r="AH73" s="1423" t="n">
        <v>46247</v>
      </c>
      <c r="AI73" s="1423" t="n">
        <v>46251</v>
      </c>
      <c r="AJ73" s="1423" t="n">
        <v>46258</v>
      </c>
      <c r="AK73" s="1423" t="n">
        <v>46272</v>
      </c>
      <c r="AL73" s="1423" t="str">
        <f>IFERROR(INDEX('برنامه خرد'!$I$2:$I$82,MATCH(Q73,'برنامه خرد'!$A$2:$A$82,0)),"")</f>
      </c>
      <c r="AM73" s="1423" t="n">
        <f>IF(AL73="",AN73,IF(T73="غلط یا کمتر از ۵۰٪",AL73+1,IF(T73="ناقص یا همراه با حدس",AL73+2,IF(T73="درست ولی کند و مردد",AL73+4,IF(T73="درست، سریع و کامل",IF(W73&gt;=2,AL73+IF(R73&lt;14,14,28),AL73+MIN(28,MAX(3,R73*2))),AN73)))))</f>
        <v>46246</v>
      </c>
      <c r="AN73" s="1423" t="n">
        <v>46246</v>
      </c>
      <c r="AO73" s="1423" t="n">
        <v>46317</v>
      </c>
    </row>
    <row r="74" ht="38" customHeight="1">
      <c r="A74" s="366" t="str">
        <v>U073</v>
      </c>
      <c r="B74" s="367" t="str">
        <v>نظریه‌های روان‌درمانی پروچاسکا</v>
      </c>
      <c r="C74" s="367" t="str">
        <v>نظریه‌های روان‌درمانی پروچاسکا</v>
      </c>
      <c r="D74" s="367" t="str">
        <v>3</v>
      </c>
      <c r="E74" s="367" t="str">
        <v>درمان‌های روان‌پویشی</v>
      </c>
      <c r="F74" s="367" t="str">
        <v>واحد مطالعه بر اساس بازهٔ صفحه</v>
      </c>
      <c r="G74" s="367" t="str">
        <v>۱۱۲ تا ۱۳۹</v>
      </c>
      <c r="H74" s="680" t="n">
        <v>28</v>
      </c>
      <c r="I74" s="367" t="str">
        <v>۱۴۰۵/۰۵/۲۱</v>
      </c>
      <c r="J74" s="683" t="n">
        <v>87</v>
      </c>
      <c r="K74" s="367" t="str">
        <v>۱۴۰۵/۰۵/۲۱</v>
      </c>
      <c r="L74" s="367" t="str">
        <v>۱۴۰۵/۰۵/۲۲</v>
      </c>
      <c r="M74" s="367" t="str">
        <v>۱۴۰۵/۰۵/۲۴</v>
      </c>
      <c r="N74" s="367" t="str">
        <v>۱۴۰۵/۰۵/۲۸</v>
      </c>
      <c r="O74" s="367" t="str">
        <v>۱۴۰۵/۰۶/۰۴</v>
      </c>
      <c r="P74" s="367" t="str">
        <v>۱۴۰۵/۰۶/۱۸</v>
      </c>
      <c r="Q74" s="411"/>
      <c r="R74" s="687" t="n">
        <v>1</v>
      </c>
      <c r="S74" s="687"/>
      <c r="T74" s="412"/>
      <c r="U74" s="412"/>
      <c r="V74" s="412"/>
      <c r="W74" s="687" t="str">
        <v>0</v>
      </c>
      <c r="X74" s="412" t="str">
        <v>خیر</v>
      </c>
      <c r="Y74" s="413" t="str">
        <v>خیر</v>
      </c>
      <c r="Z74" s="430" t="str">
        <f>IF(AM74="","",IF(AM74&gt;AO74,"تثبیت نهایی",IFERROR(INDEX('برنامه خرد'!$A$2:$A$82,MATCH(AM74,'برنامه خرد'!$I$2:$I$82,0)),"تثبیت نهایی")))</f>
        <v>۱۴۰۵/۰۵/۲۲</v>
      </c>
      <c r="AA74" s="431" t="str">
        <v>۱۴۰۵/۰۵/۲۲</v>
      </c>
      <c r="AB74" s="690" t="n">
        <f>IF(AM74="","",AM74-AN74)</f>
        <v>0</v>
      </c>
      <c r="AC74" s="431" t="str">
        <f>IF(AM74="","فاقد داده",IF(AM74&gt;AO74,"انتقال به تثبیت نهایی",IF(AM74&lt;TODAY(),"عقب‌افتاده",IF(AM74=TODAY(),"سررسید امروز","آینده"))))</f>
        <v>آینده</v>
      </c>
      <c r="AD74" s="432" t="str">
        <f>IF(OR(AM74&gt;AO74,Z74="تثبیت نهایی"),"بله","خیر")</f>
        <v>خیر</v>
      </c>
      <c r="AE74" s="436" t="str">
        <v>این فرمول فقط تاریخ پیشنهادی را محاسبه می‌کند و ردیف‌های برنامهٔ روزانه را خودکار جابه‌جا نمی‌کند.</v>
      </c>
      <c r="AF74" s="1423" t="n">
        <v>46246</v>
      </c>
      <c r="AG74" s="1423" t="n">
        <v>46247</v>
      </c>
      <c r="AH74" s="1423" t="n">
        <v>46249</v>
      </c>
      <c r="AI74" s="1423" t="n">
        <v>46253</v>
      </c>
      <c r="AJ74" s="1423" t="n">
        <v>46260</v>
      </c>
      <c r="AK74" s="1423" t="n">
        <v>46274</v>
      </c>
      <c r="AL74" s="1423" t="str">
        <f>IFERROR(INDEX('برنامه خرد'!$I$2:$I$82,MATCH(Q74,'برنامه خرد'!$A$2:$A$82,0)),"")</f>
      </c>
      <c r="AM74" s="1423" t="n">
        <f>IF(AL74="",AN74,IF(T74="غلط یا کمتر از ۵۰٪",AL74+1,IF(T74="ناقص یا همراه با حدس",AL74+2,IF(T74="درست ولی کند و مردد",AL74+4,IF(T74="درست، سریع و کامل",IF(W74&gt;=2,AL74+IF(R74&lt;14,14,28),AL74+MIN(28,MAX(3,R74*2))),AN74)))))</f>
        <v>46247</v>
      </c>
      <c r="AN74" s="1423" t="n">
        <v>46247</v>
      </c>
      <c r="AO74" s="1423" t="n">
        <v>46317</v>
      </c>
    </row>
    <row r="75" ht="38" customHeight="1">
      <c r="A75" s="280" t="str">
        <v>U074</v>
      </c>
      <c r="B75" s="281" t="str">
        <v>نظریه‌های روان‌درمانی پروچاسکا</v>
      </c>
      <c r="C75" s="281" t="str">
        <v>نظریه‌های روان‌درمانی پروچاسکا</v>
      </c>
      <c r="D75" s="281" t="str">
        <v>3</v>
      </c>
      <c r="E75" s="281" t="str">
        <v>درمان‌های روان‌پویشی</v>
      </c>
      <c r="F75" s="281" t="str">
        <v>واحد مطالعه بر اساس بازهٔ صفحه</v>
      </c>
      <c r="G75" s="281" t="str">
        <v>۱۴۰ تا ۱۴۶</v>
      </c>
      <c r="H75" s="681" t="n">
        <v>7</v>
      </c>
      <c r="I75" s="281" t="str">
        <v>۱۴۰۵/۰۵/۲۲</v>
      </c>
      <c r="J75" s="684" t="n">
        <v>21.9</v>
      </c>
      <c r="K75" s="281" t="str">
        <v>۱۴۰۵/۰۵/۲۲</v>
      </c>
      <c r="L75" s="281" t="str">
        <v>۱۴۰۵/۰۵/۲۳</v>
      </c>
      <c r="M75" s="281" t="str">
        <v>۱۴۰۵/۰۵/۲۵</v>
      </c>
      <c r="N75" s="281" t="str">
        <v>۱۴۰۵/۰۵/۲۹</v>
      </c>
      <c r="O75" s="281" t="str">
        <v>۱۴۰۵/۰۶/۰۵</v>
      </c>
      <c r="P75" s="281" t="str">
        <v>۱۴۰۵/۰۶/۱۹</v>
      </c>
      <c r="Q75" s="411"/>
      <c r="R75" s="687" t="n">
        <v>1</v>
      </c>
      <c r="S75" s="687"/>
      <c r="T75" s="412"/>
      <c r="U75" s="412"/>
      <c r="V75" s="412"/>
      <c r="W75" s="687" t="str">
        <v>0</v>
      </c>
      <c r="X75" s="412" t="str">
        <v>خیر</v>
      </c>
      <c r="Y75" s="413" t="str">
        <v>خیر</v>
      </c>
      <c r="Z75" s="430" t="str">
        <f>IF(AM75="","",IF(AM75&gt;AO75,"تثبیت نهایی",IFERROR(INDEX('برنامه خرد'!$A$2:$A$82,MATCH(AM75,'برنامه خرد'!$I$2:$I$82,0)),"تثبیت نهایی")))</f>
        <v>۱۴۰۵/۰۵/۲۳</v>
      </c>
      <c r="AA75" s="431" t="str">
        <v>۱۴۰۵/۰۵/۲۳</v>
      </c>
      <c r="AB75" s="690" t="n">
        <f>IF(AM75="","",AM75-AN75)</f>
        <v>0</v>
      </c>
      <c r="AC75" s="431" t="str">
        <f>IF(AM75="","فاقد داده",IF(AM75&gt;AO75,"انتقال به تثبیت نهایی",IF(AM75&lt;TODAY(),"عقب‌افتاده",IF(AM75=TODAY(),"سررسید امروز","آینده"))))</f>
        <v>آینده</v>
      </c>
      <c r="AD75" s="432" t="str">
        <f>IF(OR(AM75&gt;AO75,Z75="تثبیت نهایی"),"بله","خیر")</f>
        <v>خیر</v>
      </c>
      <c r="AE75" s="436" t="str">
        <v>این فرمول فقط تاریخ پیشنهادی را محاسبه می‌کند و ردیف‌های برنامهٔ روزانه را خودکار جابه‌جا نمی‌کند.</v>
      </c>
      <c r="AF75" s="1423" t="n">
        <v>46247</v>
      </c>
      <c r="AG75" s="1423" t="n">
        <v>46248</v>
      </c>
      <c r="AH75" s="1423" t="n">
        <v>46250</v>
      </c>
      <c r="AI75" s="1423" t="n">
        <v>46254</v>
      </c>
      <c r="AJ75" s="1423" t="n">
        <v>46261</v>
      </c>
      <c r="AK75" s="1423" t="n">
        <v>46275</v>
      </c>
      <c r="AL75" s="1423" t="str">
        <f>IFERROR(INDEX('برنامه خرد'!$I$2:$I$82,MATCH(Q75,'برنامه خرد'!$A$2:$A$82,0)),"")</f>
      </c>
      <c r="AM75" s="1423" t="n">
        <f>IF(AL75="",AN75,IF(T75="غلط یا کمتر از ۵۰٪",AL75+1,IF(T75="ناقص یا همراه با حدس",AL75+2,IF(T75="درست ولی کند و مردد",AL75+4,IF(T75="درست، سریع و کامل",IF(W75&gt;=2,AL75+IF(R75&lt;14,14,28),AL75+MIN(28,MAX(3,R75*2))),AN75)))))</f>
        <v>46248</v>
      </c>
      <c r="AN75" s="1423" t="n">
        <v>46248</v>
      </c>
      <c r="AO75" s="1423" t="n">
        <v>46317</v>
      </c>
    </row>
    <row r="76" ht="38" customHeight="1">
      <c r="A76" s="366" t="str">
        <v>U075</v>
      </c>
      <c r="B76" s="367" t="str">
        <v>نظریه‌های روان‌درمانی پروچاسکا</v>
      </c>
      <c r="C76" s="367" t="str">
        <v>نظریه‌های روان‌درمانی پروچاسکا</v>
      </c>
      <c r="D76" s="367" t="str">
        <v>4</v>
      </c>
      <c r="E76" s="367" t="str">
        <v>درمان‌های وجودی</v>
      </c>
      <c r="F76" s="367" t="str">
        <v>واحد مطالعه بر اساس بازهٔ صفحه</v>
      </c>
      <c r="G76" s="367" t="str">
        <v>۱۴۷ تا ۱۴۷</v>
      </c>
      <c r="H76" s="680" t="n">
        <v>1</v>
      </c>
      <c r="I76" s="367" t="str">
        <v>۱۴۰۵/۰۵/۲۲</v>
      </c>
      <c r="J76" s="683" t="n">
        <v>3.1</v>
      </c>
      <c r="K76" s="367" t="str">
        <v>۱۴۰۵/۰۵/۲۲</v>
      </c>
      <c r="L76" s="367" t="str">
        <v>۱۴۰۵/۰۵/۲۳</v>
      </c>
      <c r="M76" s="367" t="str">
        <v>۱۴۰۵/۰۵/۲۵</v>
      </c>
      <c r="N76" s="367" t="str">
        <v>۱۴۰۵/۰۵/۲۹</v>
      </c>
      <c r="O76" s="367" t="str">
        <v>۱۴۰۵/۰۶/۰۵</v>
      </c>
      <c r="P76" s="367" t="str">
        <v>۱۴۰۵/۰۶/۱۹</v>
      </c>
      <c r="Q76" s="411"/>
      <c r="R76" s="687" t="n">
        <v>1</v>
      </c>
      <c r="S76" s="687"/>
      <c r="T76" s="412"/>
      <c r="U76" s="412"/>
      <c r="V76" s="412"/>
      <c r="W76" s="687" t="str">
        <v>0</v>
      </c>
      <c r="X76" s="412" t="str">
        <v>خیر</v>
      </c>
      <c r="Y76" s="413" t="str">
        <v>خیر</v>
      </c>
      <c r="Z76" s="430" t="str">
        <f>IF(AM76="","",IF(AM76&gt;AO76,"تثبیت نهایی",IFERROR(INDEX('برنامه خرد'!$A$2:$A$82,MATCH(AM76,'برنامه خرد'!$I$2:$I$82,0)),"تثبیت نهایی")))</f>
        <v>۱۴۰۵/۰۵/۲۳</v>
      </c>
      <c r="AA76" s="431" t="str">
        <v>۱۴۰۵/۰۵/۲۳</v>
      </c>
      <c r="AB76" s="690" t="n">
        <f>IF(AM76="","",AM76-AN76)</f>
        <v>0</v>
      </c>
      <c r="AC76" s="431" t="str">
        <f>IF(AM76="","فاقد داده",IF(AM76&gt;AO76,"انتقال به تثبیت نهایی",IF(AM76&lt;TODAY(),"عقب‌افتاده",IF(AM76=TODAY(),"سررسید امروز","آینده"))))</f>
        <v>آینده</v>
      </c>
      <c r="AD76" s="432" t="str">
        <f>IF(OR(AM76&gt;AO76,Z76="تثبیت نهایی"),"بله","خیر")</f>
        <v>خیر</v>
      </c>
      <c r="AE76" s="436" t="str">
        <v>این فرمول فقط تاریخ پیشنهادی را محاسبه می‌کند و ردیف‌های برنامهٔ روزانه را خودکار جابه‌جا نمی‌کند.</v>
      </c>
      <c r="AF76" s="1423" t="n">
        <v>46247</v>
      </c>
      <c r="AG76" s="1423" t="n">
        <v>46248</v>
      </c>
      <c r="AH76" s="1423" t="n">
        <v>46250</v>
      </c>
      <c r="AI76" s="1423" t="n">
        <v>46254</v>
      </c>
      <c r="AJ76" s="1423" t="n">
        <v>46261</v>
      </c>
      <c r="AK76" s="1423" t="n">
        <v>46275</v>
      </c>
      <c r="AL76" s="1423" t="str">
        <f>IFERROR(INDEX('برنامه خرد'!$I$2:$I$82,MATCH(Q76,'برنامه خرد'!$A$2:$A$82,0)),"")</f>
      </c>
      <c r="AM76" s="1423" t="n">
        <f>IF(AL76="",AN76,IF(T76="غلط یا کمتر از ۵۰٪",AL76+1,IF(T76="ناقص یا همراه با حدس",AL76+2,IF(T76="درست ولی کند و مردد",AL76+4,IF(T76="درست، سریع و کامل",IF(W76&gt;=2,AL76+IF(R76&lt;14,14,28),AL76+MIN(28,MAX(3,R76*2))),AN76)))))</f>
        <v>46248</v>
      </c>
      <c r="AN76" s="1423" t="n">
        <v>46248</v>
      </c>
      <c r="AO76" s="1423" t="n">
        <v>46317</v>
      </c>
    </row>
    <row r="77" ht="38" customHeight="1">
      <c r="A77" s="280" t="str">
        <v>U076</v>
      </c>
      <c r="B77" s="281" t="str">
        <v>نظریه‌های روان‌درمانی پروچاسکا</v>
      </c>
      <c r="C77" s="281" t="str">
        <v>نظریه‌های روان‌درمانی پروچاسکا</v>
      </c>
      <c r="D77" s="281" t="str">
        <v>4</v>
      </c>
      <c r="E77" s="281" t="str">
        <v>درمان‌های وجودی</v>
      </c>
      <c r="F77" s="281" t="str">
        <v>واحد مطالعه بر اساس بازهٔ صفحه</v>
      </c>
      <c r="G77" s="281" t="str">
        <v>۱۴۸ تا ۱۷۵</v>
      </c>
      <c r="H77" s="681" t="n">
        <v>28</v>
      </c>
      <c r="I77" s="281" t="str">
        <v>۱۴۰۵/۰۵/۲۳</v>
      </c>
      <c r="J77" s="684" t="n">
        <v>87</v>
      </c>
      <c r="K77" s="281" t="str">
        <v>۱۴۰۵/۰۵/۲۳</v>
      </c>
      <c r="L77" s="281" t="str">
        <v>۱۴۰۵/۰۵/۲۴</v>
      </c>
      <c r="M77" s="281" t="str">
        <v>۱۴۰۵/۰۵/۲۶</v>
      </c>
      <c r="N77" s="281" t="str">
        <v>۱۴۰۵/۰۵/۳۰</v>
      </c>
      <c r="O77" s="281" t="str">
        <v>۱۴۰۵/۰۶/۰۶</v>
      </c>
      <c r="P77" s="281" t="str">
        <v>۱۴۰۵/۰۶/۲۰</v>
      </c>
      <c r="Q77" s="411"/>
      <c r="R77" s="687" t="n">
        <v>1</v>
      </c>
      <c r="S77" s="687"/>
      <c r="T77" s="412"/>
      <c r="U77" s="412"/>
      <c r="V77" s="412"/>
      <c r="W77" s="687" t="str">
        <v>0</v>
      </c>
      <c r="X77" s="412" t="str">
        <v>خیر</v>
      </c>
      <c r="Y77" s="413" t="str">
        <v>خیر</v>
      </c>
      <c r="Z77" s="430" t="str">
        <f>IF(AM77="","",IF(AM77&gt;AO77,"تثبیت نهایی",IFERROR(INDEX('برنامه خرد'!$A$2:$A$82,MATCH(AM77,'برنامه خرد'!$I$2:$I$82,0)),"تثبیت نهایی")))</f>
        <v>۱۴۰۵/۰۵/۲۵</v>
      </c>
      <c r="AA77" s="431" t="str">
        <v>۱۴۰۵/۰۵/۲۵</v>
      </c>
      <c r="AB77" s="690" t="n">
        <f>IF(AM77="","",AM77-AN77)</f>
        <v>0</v>
      </c>
      <c r="AC77" s="431" t="str">
        <f>IF(AM77="","فاقد داده",IF(AM77&gt;AO77,"انتقال به تثبیت نهایی",IF(AM77&lt;TODAY(),"عقب‌افتاده",IF(AM77=TODAY(),"سررسید امروز","آینده"))))</f>
        <v>آینده</v>
      </c>
      <c r="AD77" s="432" t="str">
        <f>IF(OR(AM77&gt;AO77,Z77="تثبیت نهایی"),"بله","خیر")</f>
        <v>خیر</v>
      </c>
      <c r="AE77" s="436" t="str">
        <v>این فرمول فقط تاریخ پیشنهادی را محاسبه می‌کند و ردیف‌های برنامهٔ روزانه را خودکار جابه‌جا نمی‌کند.</v>
      </c>
      <c r="AF77" s="1423" t="n">
        <v>46248</v>
      </c>
      <c r="AG77" s="1423" t="n">
        <v>46249</v>
      </c>
      <c r="AH77" s="1423" t="n">
        <v>46251</v>
      </c>
      <c r="AI77" s="1423" t="n">
        <v>46255</v>
      </c>
      <c r="AJ77" s="1423" t="n">
        <v>46262</v>
      </c>
      <c r="AK77" s="1423" t="n">
        <v>46276</v>
      </c>
      <c r="AL77" s="1423" t="str">
        <f>IFERROR(INDEX('برنامه خرد'!$I$2:$I$82,MATCH(Q77,'برنامه خرد'!$A$2:$A$82,0)),"")</f>
      </c>
      <c r="AM77" s="1423" t="n">
        <f>IF(AL77="",AN77,IF(T77="غلط یا کمتر از ۵۰٪",AL77+1,IF(T77="ناقص یا همراه با حدس",AL77+2,IF(T77="درست ولی کند و مردد",AL77+4,IF(T77="درست، سریع و کامل",IF(W77&gt;=2,AL77+IF(R77&lt;14,14,28),AL77+MIN(28,MAX(3,R77*2))),AN77)))))</f>
        <v>46250</v>
      </c>
      <c r="AN77" s="1423" t="n">
        <v>46250</v>
      </c>
      <c r="AO77" s="1423" t="n">
        <v>46317</v>
      </c>
    </row>
    <row r="78" ht="38" customHeight="1">
      <c r="A78" s="366" t="str">
        <v>U077</v>
      </c>
      <c r="B78" s="367" t="str">
        <v>نظریه‌های روان‌درمانی پروچاسکا</v>
      </c>
      <c r="C78" s="367" t="str">
        <v>نظریه‌های روان‌درمانی پروچاسکا</v>
      </c>
      <c r="D78" s="367" t="str">
        <v>4</v>
      </c>
      <c r="E78" s="367" t="str">
        <v>درمان‌های وجودی</v>
      </c>
      <c r="F78" s="367" t="str">
        <v>واحد مطالعه بر اساس بازهٔ صفحه</v>
      </c>
      <c r="G78" s="367" t="str">
        <v>۱۷۶ تا ۲۰۰</v>
      </c>
      <c r="H78" s="680" t="n">
        <v>25</v>
      </c>
      <c r="I78" s="367" t="str">
        <v>۱۴۰۵/۰۵/۲۵</v>
      </c>
      <c r="J78" s="683" t="n">
        <v>77.7</v>
      </c>
      <c r="K78" s="367" t="str">
        <v>۱۴۰۵/۰۵/۲۵</v>
      </c>
      <c r="L78" s="367" t="str">
        <v>۱۴۰۵/۰۵/۲۶</v>
      </c>
      <c r="M78" s="367" t="str">
        <v>۱۴۰۵/۰۵/۲۸</v>
      </c>
      <c r="N78" s="367" t="str">
        <v>۱۴۰۵/۰۶/۰۱</v>
      </c>
      <c r="O78" s="367" t="str">
        <v>۱۴۰۵/۰۶/۰۸</v>
      </c>
      <c r="P78" s="367" t="str">
        <v>۱۴۰۵/۰۶/۲۲</v>
      </c>
      <c r="Q78" s="411"/>
      <c r="R78" s="687" t="n">
        <v>1</v>
      </c>
      <c r="S78" s="687"/>
      <c r="T78" s="412"/>
      <c r="U78" s="412"/>
      <c r="V78" s="412"/>
      <c r="W78" s="687" t="str">
        <v>0</v>
      </c>
      <c r="X78" s="412" t="str">
        <v>خیر</v>
      </c>
      <c r="Y78" s="413" t="str">
        <v>خیر</v>
      </c>
      <c r="Z78" s="430" t="str">
        <f>IF(AM78="","",IF(AM78&gt;AO78,"تثبیت نهایی",IFERROR(INDEX('برنامه خرد'!$A$2:$A$82,MATCH(AM78,'برنامه خرد'!$I$2:$I$82,0)),"تثبیت نهایی")))</f>
        <v>۱۴۰۵/۰۵/۲۷</v>
      </c>
      <c r="AA78" s="431" t="str">
        <v>۱۴۰۵/۰۵/۲۷</v>
      </c>
      <c r="AB78" s="690" t="n">
        <f>IF(AM78="","",AM78-AN78)</f>
        <v>0</v>
      </c>
      <c r="AC78" s="431" t="str">
        <f>IF(AM78="","فاقد داده",IF(AM78&gt;AO78,"انتقال به تثبیت نهایی",IF(AM78&lt;TODAY(),"عقب‌افتاده",IF(AM78=TODAY(),"سررسید امروز","آینده"))))</f>
        <v>آینده</v>
      </c>
      <c r="AD78" s="432" t="str">
        <f>IF(OR(AM78&gt;AO78,Z78="تثبیت نهایی"),"بله","خیر")</f>
        <v>خیر</v>
      </c>
      <c r="AE78" s="436" t="str">
        <v>این فرمول فقط تاریخ پیشنهادی را محاسبه می‌کند و ردیف‌های برنامهٔ روزانه را خودکار جابه‌جا نمی‌کند.</v>
      </c>
      <c r="AF78" s="1423" t="n">
        <v>46250</v>
      </c>
      <c r="AG78" s="1423" t="n">
        <v>46251</v>
      </c>
      <c r="AH78" s="1423" t="n">
        <v>46253</v>
      </c>
      <c r="AI78" s="1423" t="n">
        <v>46257</v>
      </c>
      <c r="AJ78" s="1423" t="n">
        <v>46264</v>
      </c>
      <c r="AK78" s="1423" t="n">
        <v>46278</v>
      </c>
      <c r="AL78" s="1423" t="str">
        <f>IFERROR(INDEX('برنامه خرد'!$I$2:$I$82,MATCH(Q78,'برنامه خرد'!$A$2:$A$82,0)),"")</f>
      </c>
      <c r="AM78" s="1423" t="n">
        <f>IF(AL78="",AN78,IF(T78="غلط یا کمتر از ۵۰٪",AL78+1,IF(T78="ناقص یا همراه با حدس",AL78+2,IF(T78="درست ولی کند و مردد",AL78+4,IF(T78="درست، سریع و کامل",IF(W78&gt;=2,AL78+IF(R78&lt;14,14,28),AL78+MIN(28,MAX(3,R78*2))),AN78)))))</f>
        <v>46252</v>
      </c>
      <c r="AN78" s="1423" t="n">
        <v>46252</v>
      </c>
      <c r="AO78" s="1423" t="n">
        <v>46317</v>
      </c>
    </row>
    <row r="79" ht="38" customHeight="1">
      <c r="A79" s="280" t="str">
        <v>U078</v>
      </c>
      <c r="B79" s="281" t="str">
        <v>نظریه‌های روان‌درمانی پروچاسکا</v>
      </c>
      <c r="C79" s="281" t="str">
        <v>نظریه‌های روان‌درمانی پروچاسکا</v>
      </c>
      <c r="D79" s="281" t="str">
        <v>5</v>
      </c>
      <c r="E79" s="281" t="str">
        <v>درمان‌های فردمدار</v>
      </c>
      <c r="F79" s="281" t="str">
        <v>واحد مطالعه بر اساس بازهٔ صفحه</v>
      </c>
      <c r="G79" s="281" t="str">
        <v>۲۰۱ تا ۲۰۳</v>
      </c>
      <c r="H79" s="681" t="n">
        <v>3</v>
      </c>
      <c r="I79" s="281" t="str">
        <v>۱۴۰۵/۰۵/۲۵</v>
      </c>
      <c r="J79" s="684" t="n">
        <v>9.3</v>
      </c>
      <c r="K79" s="281" t="str">
        <v>۱۴۰۵/۰۵/۲۵</v>
      </c>
      <c r="L79" s="281" t="str">
        <v>۱۴۰۵/۰۵/۲۶</v>
      </c>
      <c r="M79" s="281" t="str">
        <v>۱۴۰۵/۰۵/۲۸</v>
      </c>
      <c r="N79" s="281" t="str">
        <v>۱۴۰۵/۰۶/۰۱</v>
      </c>
      <c r="O79" s="281" t="str">
        <v>۱۴۰۵/۰۶/۰۸</v>
      </c>
      <c r="P79" s="281" t="str">
        <v>۱۴۰۵/۰۶/۲۲</v>
      </c>
      <c r="Q79" s="411"/>
      <c r="R79" s="687" t="n">
        <v>1</v>
      </c>
      <c r="S79" s="687"/>
      <c r="T79" s="412"/>
      <c r="U79" s="412"/>
      <c r="V79" s="412"/>
      <c r="W79" s="687" t="str">
        <v>0</v>
      </c>
      <c r="X79" s="412" t="str">
        <v>خیر</v>
      </c>
      <c r="Y79" s="413" t="str">
        <v>خیر</v>
      </c>
      <c r="Z79" s="430" t="str">
        <f>IF(AM79="","",IF(AM79&gt;AO79,"تثبیت نهایی",IFERROR(INDEX('برنامه خرد'!$A$2:$A$82,MATCH(AM79,'برنامه خرد'!$I$2:$I$82,0)),"تثبیت نهایی")))</f>
        <v>۱۴۰۵/۰۵/۲۷</v>
      </c>
      <c r="AA79" s="431" t="str">
        <v>۱۴۰۵/۰۵/۲۷</v>
      </c>
      <c r="AB79" s="690" t="n">
        <f>IF(AM79="","",AM79-AN79)</f>
        <v>0</v>
      </c>
      <c r="AC79" s="431" t="str">
        <f>IF(AM79="","فاقد داده",IF(AM79&gt;AO79,"انتقال به تثبیت نهایی",IF(AM79&lt;TODAY(),"عقب‌افتاده",IF(AM79=TODAY(),"سررسید امروز","آینده"))))</f>
        <v>آینده</v>
      </c>
      <c r="AD79" s="432" t="str">
        <f>IF(OR(AM79&gt;AO79,Z79="تثبیت نهایی"),"بله","خیر")</f>
        <v>خیر</v>
      </c>
      <c r="AE79" s="436" t="str">
        <v>این فرمول فقط تاریخ پیشنهادی را محاسبه می‌کند و ردیف‌های برنامهٔ روزانه را خودکار جابه‌جا نمی‌کند.</v>
      </c>
      <c r="AF79" s="1423" t="n">
        <v>46250</v>
      </c>
      <c r="AG79" s="1423" t="n">
        <v>46251</v>
      </c>
      <c r="AH79" s="1423" t="n">
        <v>46253</v>
      </c>
      <c r="AI79" s="1423" t="n">
        <v>46257</v>
      </c>
      <c r="AJ79" s="1423" t="n">
        <v>46264</v>
      </c>
      <c r="AK79" s="1423" t="n">
        <v>46278</v>
      </c>
      <c r="AL79" s="1423" t="str">
        <f>IFERROR(INDEX('برنامه خرد'!$I$2:$I$82,MATCH(Q79,'برنامه خرد'!$A$2:$A$82,0)),"")</f>
      </c>
      <c r="AM79" s="1423" t="n">
        <f>IF(AL79="",AN79,IF(T79="غلط یا کمتر از ۵۰٪",AL79+1,IF(T79="ناقص یا همراه با حدس",AL79+2,IF(T79="درست ولی کند و مردد",AL79+4,IF(T79="درست، سریع و کامل",IF(W79&gt;=2,AL79+IF(R79&lt;14,14,28),AL79+MIN(28,MAX(3,R79*2))),AN79)))))</f>
        <v>46252</v>
      </c>
      <c r="AN79" s="1423" t="n">
        <v>46252</v>
      </c>
      <c r="AO79" s="1423" t="n">
        <v>46317</v>
      </c>
    </row>
    <row r="80" ht="38" customHeight="1">
      <c r="A80" s="366" t="str">
        <v>U079</v>
      </c>
      <c r="B80" s="367" t="str">
        <v>نظریه‌های روان‌درمانی پروچاسکا</v>
      </c>
      <c r="C80" s="367" t="str">
        <v>نظریه‌های روان‌درمانی پروچاسکا</v>
      </c>
      <c r="D80" s="367" t="str">
        <v>5</v>
      </c>
      <c r="E80" s="367" t="str">
        <v>درمان‌های فردمدار</v>
      </c>
      <c r="F80" s="367" t="str">
        <v>واحد مطالعه بر اساس بازهٔ صفحه</v>
      </c>
      <c r="G80" s="367" t="str">
        <v>۲۰۴ تا ۲۱۱</v>
      </c>
      <c r="H80" s="680" t="n">
        <v>8</v>
      </c>
      <c r="I80" s="367" t="str">
        <v>۱۴۰۵/۰۵/۲۷</v>
      </c>
      <c r="J80" s="683" t="n">
        <v>25</v>
      </c>
      <c r="K80" s="367" t="str">
        <v>۱۴۰۵/۰۵/۲۷</v>
      </c>
      <c r="L80" s="367" t="str">
        <v>۱۴۰۵/۰۵/۲۸</v>
      </c>
      <c r="M80" s="367" t="str">
        <v>۱۴۰۵/۰۵/۳۰</v>
      </c>
      <c r="N80" s="367" t="str">
        <v>۱۴۰۵/۰۶/۰۳</v>
      </c>
      <c r="O80" s="367" t="str">
        <v>۱۴۰۵/۰۶/۱۰</v>
      </c>
      <c r="P80" s="367" t="str">
        <v>۱۴۰۵/۰۶/۲۴</v>
      </c>
      <c r="Q80" s="411"/>
      <c r="R80" s="687" t="n">
        <v>1</v>
      </c>
      <c r="S80" s="687"/>
      <c r="T80" s="412"/>
      <c r="U80" s="412"/>
      <c r="V80" s="412"/>
      <c r="W80" s="687" t="str">
        <v>0</v>
      </c>
      <c r="X80" s="412" t="str">
        <v>خیر</v>
      </c>
      <c r="Y80" s="413" t="str">
        <v>خیر</v>
      </c>
      <c r="Z80" s="430" t="str">
        <f>IF(AM80="","",IF(AM80&gt;AO80,"تثبیت نهایی",IFERROR(INDEX('برنامه خرد'!$A$2:$A$82,MATCH(AM80,'برنامه خرد'!$I$2:$I$82,0)),"تثبیت نهایی")))</f>
        <v>۱۴۰۵/۰۵/۲۸</v>
      </c>
      <c r="AA80" s="431" t="str">
        <v>۱۴۰۵/۰۵/۲۸</v>
      </c>
      <c r="AB80" s="690" t="n">
        <f>IF(AM80="","",AM80-AN80)</f>
        <v>0</v>
      </c>
      <c r="AC80" s="431" t="str">
        <f>IF(AM80="","فاقد داده",IF(AM80&gt;AO80,"انتقال به تثبیت نهایی",IF(AM80&lt;TODAY(),"عقب‌افتاده",IF(AM80=TODAY(),"سررسید امروز","آینده"))))</f>
        <v>آینده</v>
      </c>
      <c r="AD80" s="432" t="str">
        <f>IF(OR(AM80&gt;AO80,Z80="تثبیت نهایی"),"بله","خیر")</f>
        <v>خیر</v>
      </c>
      <c r="AE80" s="436" t="str">
        <v>این فرمول فقط تاریخ پیشنهادی را محاسبه می‌کند و ردیف‌های برنامهٔ روزانه را خودکار جابه‌جا نمی‌کند.</v>
      </c>
      <c r="AF80" s="1423" t="n">
        <v>46252</v>
      </c>
      <c r="AG80" s="1423" t="n">
        <v>46253</v>
      </c>
      <c r="AH80" s="1423" t="n">
        <v>46255</v>
      </c>
      <c r="AI80" s="1423" t="n">
        <v>46259</v>
      </c>
      <c r="AJ80" s="1423" t="n">
        <v>46266</v>
      </c>
      <c r="AK80" s="1423" t="n">
        <v>46280</v>
      </c>
      <c r="AL80" s="1423" t="str">
        <f>IFERROR(INDEX('برنامه خرد'!$I$2:$I$82,MATCH(Q80,'برنامه خرد'!$A$2:$A$82,0)),"")</f>
      </c>
      <c r="AM80" s="1423" t="n">
        <f>IF(AL80="",AN80,IF(T80="غلط یا کمتر از ۵۰٪",AL80+1,IF(T80="ناقص یا همراه با حدس",AL80+2,IF(T80="درست ولی کند و مردد",AL80+4,IF(T80="درست، سریع و کامل",IF(W80&gt;=2,AL80+IF(R80&lt;14,14,28),AL80+MIN(28,MAX(3,R80*2))),AN80)))))</f>
        <v>46253</v>
      </c>
      <c r="AN80" s="1423" t="n">
        <v>46253</v>
      </c>
      <c r="AO80" s="1423" t="n">
        <v>46317</v>
      </c>
    </row>
    <row r="81" ht="38" customHeight="1">
      <c r="A81" s="280" t="str">
        <v>U080</v>
      </c>
      <c r="B81" s="281" t="str">
        <v>نظریه‌های روان‌درمانی پروچاسکا</v>
      </c>
      <c r="C81" s="281" t="str">
        <v>نظریه‌های روان‌درمانی پروچاسکا</v>
      </c>
      <c r="D81" s="281" t="str">
        <v>5</v>
      </c>
      <c r="E81" s="281" t="str">
        <v>درمان‌های فردمدار</v>
      </c>
      <c r="F81" s="281" t="str">
        <v>واحد مطالعه بر اساس بازهٔ صفحه</v>
      </c>
      <c r="G81" s="281" t="str">
        <v>۲۱۲ تا ۲۱۹</v>
      </c>
      <c r="H81" s="681" t="n">
        <v>8</v>
      </c>
      <c r="I81" s="281" t="str">
        <v>۱۴۰۵/۰۵/۲۸</v>
      </c>
      <c r="J81" s="684" t="n">
        <v>25</v>
      </c>
      <c r="K81" s="281" t="str">
        <v>۱۴۰۵/۰۵/۲۸</v>
      </c>
      <c r="L81" s="281" t="str">
        <v>۱۴۰۵/۰۵/۲۹</v>
      </c>
      <c r="M81" s="281" t="str">
        <v>۱۴۰۵/۰۵/۳۱</v>
      </c>
      <c r="N81" s="281" t="str">
        <v>۱۴۰۵/۰۶/۰۴</v>
      </c>
      <c r="O81" s="281" t="str">
        <v>۱۴۰۵/۰۶/۱۱</v>
      </c>
      <c r="P81" s="281" t="str">
        <v>۱۴۰۵/۰۶/۲۵</v>
      </c>
      <c r="Q81" s="411"/>
      <c r="R81" s="687" t="n">
        <v>1</v>
      </c>
      <c r="S81" s="687"/>
      <c r="T81" s="412"/>
      <c r="U81" s="412"/>
      <c r="V81" s="412"/>
      <c r="W81" s="687" t="str">
        <v>0</v>
      </c>
      <c r="X81" s="412" t="str">
        <v>خیر</v>
      </c>
      <c r="Y81" s="413" t="str">
        <v>خیر</v>
      </c>
      <c r="Z81" s="430" t="str">
        <f>IF(AM81="","",IF(AM81&gt;AO81,"تثبیت نهایی",IFERROR(INDEX('برنامه خرد'!$A$2:$A$82,MATCH(AM81,'برنامه خرد'!$I$2:$I$82,0)),"تثبیت نهایی")))</f>
        <v>۱۴۰۵/۰۵/۲۹</v>
      </c>
      <c r="AA81" s="431" t="str">
        <v>۱۴۰۵/۰۵/۲۹</v>
      </c>
      <c r="AB81" s="690" t="n">
        <f>IF(AM81="","",AM81-AN81)</f>
        <v>0</v>
      </c>
      <c r="AC81" s="431" t="str">
        <f>IF(AM81="","فاقد داده",IF(AM81&gt;AO81,"انتقال به تثبیت نهایی",IF(AM81&lt;TODAY(),"عقب‌افتاده",IF(AM81=TODAY(),"سررسید امروز","آینده"))))</f>
        <v>آینده</v>
      </c>
      <c r="AD81" s="432" t="str">
        <f>IF(OR(AM81&gt;AO81,Z81="تثبیت نهایی"),"بله","خیر")</f>
        <v>خیر</v>
      </c>
      <c r="AE81" s="436" t="str">
        <v>این فرمول فقط تاریخ پیشنهادی را محاسبه می‌کند و ردیف‌های برنامهٔ روزانه را خودکار جابه‌جا نمی‌کند.</v>
      </c>
      <c r="AF81" s="1423" t="n">
        <v>46253</v>
      </c>
      <c r="AG81" s="1423" t="n">
        <v>46254</v>
      </c>
      <c r="AH81" s="1423" t="n">
        <v>46256</v>
      </c>
      <c r="AI81" s="1423" t="n">
        <v>46260</v>
      </c>
      <c r="AJ81" s="1423" t="n">
        <v>46267</v>
      </c>
      <c r="AK81" s="1423" t="n">
        <v>46281</v>
      </c>
      <c r="AL81" s="1423" t="str">
        <f>IFERROR(INDEX('برنامه خرد'!$I$2:$I$82,MATCH(Q81,'برنامه خرد'!$A$2:$A$82,0)),"")</f>
      </c>
      <c r="AM81" s="1423" t="n">
        <f>IF(AL81="",AN81,IF(T81="غلط یا کمتر از ۵۰٪",AL81+1,IF(T81="ناقص یا همراه با حدس",AL81+2,IF(T81="درست ولی کند و مردد",AL81+4,IF(T81="درست، سریع و کامل",IF(W81&gt;=2,AL81+IF(R81&lt;14,14,28),AL81+MIN(28,MAX(3,R81*2))),AN81)))))</f>
        <v>46254</v>
      </c>
      <c r="AN81" s="1423" t="n">
        <v>46254</v>
      </c>
      <c r="AO81" s="1423" t="n">
        <v>46317</v>
      </c>
    </row>
    <row r="82" ht="38" customHeight="1">
      <c r="A82" s="366" t="str">
        <v>U081</v>
      </c>
      <c r="B82" s="367" t="str">
        <v>نظریه‌های روان‌درمانی پروچاسکا</v>
      </c>
      <c r="C82" s="367" t="str">
        <v>نظریه‌های روان‌درمانی پروچاسکا</v>
      </c>
      <c r="D82" s="367" t="str">
        <v>5</v>
      </c>
      <c r="E82" s="367" t="str">
        <v>درمان‌های فردمدار</v>
      </c>
      <c r="F82" s="367" t="str">
        <v>واحد مطالعه بر اساس بازهٔ صفحه</v>
      </c>
      <c r="G82" s="367" t="str">
        <v>۲۲۰ تا ۲۲۷</v>
      </c>
      <c r="H82" s="680" t="n">
        <v>8</v>
      </c>
      <c r="I82" s="367" t="str">
        <v>۱۴۰۵/۰۵/۲۹</v>
      </c>
      <c r="J82" s="683" t="n">
        <v>25</v>
      </c>
      <c r="K82" s="367" t="str">
        <v>۱۴۰۵/۰۵/۲۹</v>
      </c>
      <c r="L82" s="367" t="str">
        <v>۱۴۰۵/۰۵/۳۰</v>
      </c>
      <c r="M82" s="367" t="str">
        <v>۱۴۰۵/۰۶/۰۱</v>
      </c>
      <c r="N82" s="367" t="str">
        <v>۱۴۰۵/۰۶/۰۵</v>
      </c>
      <c r="O82" s="367" t="str">
        <v>۱۴۰۵/۰۶/۱۲</v>
      </c>
      <c r="P82" s="367" t="str">
        <v>۱۴۰۵/۰۶/۲۶</v>
      </c>
      <c r="Q82" s="411"/>
      <c r="R82" s="687" t="n">
        <v>1</v>
      </c>
      <c r="S82" s="687"/>
      <c r="T82" s="412"/>
      <c r="U82" s="412"/>
      <c r="V82" s="412"/>
      <c r="W82" s="687" t="str">
        <v>0</v>
      </c>
      <c r="X82" s="412" t="str">
        <v>خیر</v>
      </c>
      <c r="Y82" s="413" t="str">
        <v>خیر</v>
      </c>
      <c r="Z82" s="430" t="str">
        <f>IF(AM82="","",IF(AM82&gt;AO82,"تثبیت نهایی",IFERROR(INDEX('برنامه خرد'!$A$2:$A$82,MATCH(AM82,'برنامه خرد'!$I$2:$I$82,0)),"تثبیت نهایی")))</f>
        <v>۱۴۰۵/۰۵/۳۰</v>
      </c>
      <c r="AA82" s="431" t="str">
        <v>۱۴۰۵/۰۵/۳۰</v>
      </c>
      <c r="AB82" s="690" t="n">
        <f>IF(AM82="","",AM82-AN82)</f>
        <v>0</v>
      </c>
      <c r="AC82" s="431" t="str">
        <f>IF(AM82="","فاقد داده",IF(AM82&gt;AO82,"انتقال به تثبیت نهایی",IF(AM82&lt;TODAY(),"عقب‌افتاده",IF(AM82=TODAY(),"سررسید امروز","آینده"))))</f>
        <v>آینده</v>
      </c>
      <c r="AD82" s="432" t="str">
        <f>IF(OR(AM82&gt;AO82,Z82="تثبیت نهایی"),"بله","خیر")</f>
        <v>خیر</v>
      </c>
      <c r="AE82" s="436" t="str">
        <v>این فرمول فقط تاریخ پیشنهادی را محاسبه می‌کند و ردیف‌های برنامهٔ روزانه را خودکار جابه‌جا نمی‌کند.</v>
      </c>
      <c r="AF82" s="1423" t="n">
        <v>46254</v>
      </c>
      <c r="AG82" s="1423" t="n">
        <v>46255</v>
      </c>
      <c r="AH82" s="1423" t="n">
        <v>46257</v>
      </c>
      <c r="AI82" s="1423" t="n">
        <v>46261</v>
      </c>
      <c r="AJ82" s="1423" t="n">
        <v>46268</v>
      </c>
      <c r="AK82" s="1423" t="n">
        <v>46282</v>
      </c>
      <c r="AL82" s="1423" t="str">
        <f>IFERROR(INDEX('برنامه خرد'!$I$2:$I$82,MATCH(Q82,'برنامه خرد'!$A$2:$A$82,0)),"")</f>
      </c>
      <c r="AM82" s="1423" t="n">
        <f>IF(AL82="",AN82,IF(T82="غلط یا کمتر از ۵۰٪",AL82+1,IF(T82="ناقص یا همراه با حدس",AL82+2,IF(T82="درست ولی کند و مردد",AL82+4,IF(T82="درست، سریع و کامل",IF(W82&gt;=2,AL82+IF(R82&lt;14,14,28),AL82+MIN(28,MAX(3,R82*2))),AN82)))))</f>
        <v>46255</v>
      </c>
      <c r="AN82" s="1423" t="n">
        <v>46255</v>
      </c>
      <c r="AO82" s="1423" t="n">
        <v>46317</v>
      </c>
    </row>
    <row r="83" ht="38" customHeight="1">
      <c r="A83" s="280" t="str">
        <v>U082</v>
      </c>
      <c r="B83" s="281" t="str">
        <v>نظریه‌های روان‌درمانی پروچاسکا</v>
      </c>
      <c r="C83" s="281" t="str">
        <v>نظریه‌های روان‌درمانی پروچاسکا</v>
      </c>
      <c r="D83" s="281" t="str">
        <v>5</v>
      </c>
      <c r="E83" s="281" t="str">
        <v>درمان‌های فردمدار</v>
      </c>
      <c r="F83" s="281" t="str">
        <v>واحد مطالعه بر اساس بازهٔ صفحه</v>
      </c>
      <c r="G83" s="281" t="str">
        <v>۲۲۸ تا ۲۴۸</v>
      </c>
      <c r="H83" s="681" t="n">
        <v>21</v>
      </c>
      <c r="I83" s="281" t="str">
        <v>۱۴۰۵/۰۵/۳۰</v>
      </c>
      <c r="J83" s="684" t="n">
        <v>65.2</v>
      </c>
      <c r="K83" s="281" t="str">
        <v>۱۴۰۵/۰۵/۳۰</v>
      </c>
      <c r="L83" s="281" t="str">
        <v>۱۴۰۵/۰۵/۳۱</v>
      </c>
      <c r="M83" s="281" t="str">
        <v>۱۴۰۵/۰۶/۰۲</v>
      </c>
      <c r="N83" s="281" t="str">
        <v>۱۴۰۵/۰۶/۰۶</v>
      </c>
      <c r="O83" s="281" t="str">
        <v>۱۴۰۵/۰۶/۱۳</v>
      </c>
      <c r="P83" s="281" t="str">
        <v>۱۴۰۵/۰۶/۲۷</v>
      </c>
      <c r="Q83" s="411"/>
      <c r="R83" s="687" t="n">
        <v>1</v>
      </c>
      <c r="S83" s="687"/>
      <c r="T83" s="412"/>
      <c r="U83" s="412"/>
      <c r="V83" s="412"/>
      <c r="W83" s="687" t="str">
        <v>0</v>
      </c>
      <c r="X83" s="412" t="str">
        <v>خیر</v>
      </c>
      <c r="Y83" s="413" t="str">
        <v>خیر</v>
      </c>
      <c r="Z83" s="430" t="str">
        <f>IF(AM83="","",IF(AM83&gt;AO83,"تثبیت نهایی",IFERROR(INDEX('برنامه خرد'!$A$2:$A$82,MATCH(AM83,'برنامه خرد'!$I$2:$I$82,0)),"تثبیت نهایی")))</f>
        <v>۱۴۰۵/۰۶/۰۱</v>
      </c>
      <c r="AA83" s="431" t="str">
        <v>۱۴۰۵/۰۶/۰۱</v>
      </c>
      <c r="AB83" s="690" t="n">
        <f>IF(AM83="","",AM83-AN83)</f>
        <v>0</v>
      </c>
      <c r="AC83" s="431" t="str">
        <f>IF(AM83="","فاقد داده",IF(AM83&gt;AO83,"انتقال به تثبیت نهایی",IF(AM83&lt;TODAY(),"عقب‌افتاده",IF(AM83=TODAY(),"سررسید امروز","آینده"))))</f>
        <v>آینده</v>
      </c>
      <c r="AD83" s="432" t="str">
        <f>IF(OR(AM83&gt;AO83,Z83="تثبیت نهایی"),"بله","خیر")</f>
        <v>خیر</v>
      </c>
      <c r="AE83" s="436" t="str">
        <v>این فرمول فقط تاریخ پیشنهادی را محاسبه می‌کند و ردیف‌های برنامهٔ روزانه را خودکار جابه‌جا نمی‌کند.</v>
      </c>
      <c r="AF83" s="1423" t="n">
        <v>46255</v>
      </c>
      <c r="AG83" s="1423" t="n">
        <v>46256</v>
      </c>
      <c r="AH83" s="1423" t="n">
        <v>46258</v>
      </c>
      <c r="AI83" s="1423" t="n">
        <v>46262</v>
      </c>
      <c r="AJ83" s="1423" t="n">
        <v>46269</v>
      </c>
      <c r="AK83" s="1423" t="n">
        <v>46283</v>
      </c>
      <c r="AL83" s="1423" t="str">
        <f>IFERROR(INDEX('برنامه خرد'!$I$2:$I$82,MATCH(Q83,'برنامه خرد'!$A$2:$A$82,0)),"")</f>
      </c>
      <c r="AM83" s="1423" t="n">
        <f>IF(AL83="",AN83,IF(T83="غلط یا کمتر از ۵۰٪",AL83+1,IF(T83="ناقص یا همراه با حدس",AL83+2,IF(T83="درست ولی کند و مردد",AL83+4,IF(T83="درست، سریع و کامل",IF(W83&gt;=2,AL83+IF(R83&lt;14,14,28),AL83+MIN(28,MAX(3,R83*2))),AN83)))))</f>
        <v>46257</v>
      </c>
      <c r="AN83" s="1423" t="n">
        <v>46257</v>
      </c>
      <c r="AO83" s="1423" t="n">
        <v>46317</v>
      </c>
    </row>
    <row r="84" ht="38" customHeight="1">
      <c r="A84" s="366" t="str">
        <v>U083</v>
      </c>
      <c r="B84" s="367" t="str">
        <v>نظریه‌های روان‌درمانی پروچاسکا</v>
      </c>
      <c r="C84" s="367" t="str">
        <v>نظریه‌های روان‌درمانی پروچاسکا</v>
      </c>
      <c r="D84" s="367" t="str">
        <v>6</v>
      </c>
      <c r="E84" s="367" t="str">
        <v>درمان‌های تجربی</v>
      </c>
      <c r="F84" s="367" t="str">
        <v>واحد مطالعه بر اساس بازهٔ صفحه</v>
      </c>
      <c r="G84" s="367" t="str">
        <v>۲۴۹ تا ۲۵۵</v>
      </c>
      <c r="H84" s="680" t="n">
        <v>7</v>
      </c>
      <c r="I84" s="367" t="str">
        <v>۱۴۰۵/۰۵/۳۰</v>
      </c>
      <c r="J84" s="683" t="n">
        <v>21.8</v>
      </c>
      <c r="K84" s="367" t="str">
        <v>۱۴۰۵/۰۵/۳۰</v>
      </c>
      <c r="L84" s="367" t="str">
        <v>۱۴۰۵/۰۵/۳۱</v>
      </c>
      <c r="M84" s="367" t="str">
        <v>۱۴۰۵/۰۶/۰۲</v>
      </c>
      <c r="N84" s="367" t="str">
        <v>۱۴۰۵/۰۶/۰۶</v>
      </c>
      <c r="O84" s="367" t="str">
        <v>۱۴۰۵/۰۶/۱۳</v>
      </c>
      <c r="P84" s="367" t="str">
        <v>۱۴۰۵/۰۶/۲۷</v>
      </c>
      <c r="Q84" s="411"/>
      <c r="R84" s="687" t="n">
        <v>1</v>
      </c>
      <c r="S84" s="687"/>
      <c r="T84" s="412"/>
      <c r="U84" s="412"/>
      <c r="V84" s="412"/>
      <c r="W84" s="687" t="str">
        <v>0</v>
      </c>
      <c r="X84" s="412" t="str">
        <v>خیر</v>
      </c>
      <c r="Y84" s="413" t="str">
        <v>خیر</v>
      </c>
      <c r="Z84" s="430" t="str">
        <f>IF(AM84="","",IF(AM84&gt;AO84,"تثبیت نهایی",IFERROR(INDEX('برنامه خرد'!$A$2:$A$82,MATCH(AM84,'برنامه خرد'!$I$2:$I$82,0)),"تثبیت نهایی")))</f>
        <v>۱۴۰۵/۰۶/۰۱</v>
      </c>
      <c r="AA84" s="431" t="str">
        <v>۱۴۰۵/۰۶/۰۱</v>
      </c>
      <c r="AB84" s="690" t="n">
        <f>IF(AM84="","",AM84-AN84)</f>
        <v>0</v>
      </c>
      <c r="AC84" s="431" t="str">
        <f>IF(AM84="","فاقد داده",IF(AM84&gt;AO84,"انتقال به تثبیت نهایی",IF(AM84&lt;TODAY(),"عقب‌افتاده",IF(AM84=TODAY(),"سررسید امروز","آینده"))))</f>
        <v>آینده</v>
      </c>
      <c r="AD84" s="432" t="str">
        <f>IF(OR(AM84&gt;AO84,Z84="تثبیت نهایی"),"بله","خیر")</f>
        <v>خیر</v>
      </c>
      <c r="AE84" s="436" t="str">
        <v>این فرمول فقط تاریخ پیشنهادی را محاسبه می‌کند و ردیف‌های برنامهٔ روزانه را خودکار جابه‌جا نمی‌کند.</v>
      </c>
      <c r="AF84" s="1423" t="n">
        <v>46255</v>
      </c>
      <c r="AG84" s="1423" t="n">
        <v>46256</v>
      </c>
      <c r="AH84" s="1423" t="n">
        <v>46258</v>
      </c>
      <c r="AI84" s="1423" t="n">
        <v>46262</v>
      </c>
      <c r="AJ84" s="1423" t="n">
        <v>46269</v>
      </c>
      <c r="AK84" s="1423" t="n">
        <v>46283</v>
      </c>
      <c r="AL84" s="1423" t="str">
        <f>IFERROR(INDEX('برنامه خرد'!$I$2:$I$82,MATCH(Q84,'برنامه خرد'!$A$2:$A$82,0)),"")</f>
      </c>
      <c r="AM84" s="1423" t="n">
        <f>IF(AL84="",AN84,IF(T84="غلط یا کمتر از ۵۰٪",AL84+1,IF(T84="ناقص یا همراه با حدس",AL84+2,IF(T84="درست ولی کند و مردد",AL84+4,IF(T84="درست، سریع و کامل",IF(W84&gt;=2,AL84+IF(R84&lt;14,14,28),AL84+MIN(28,MAX(3,R84*2))),AN84)))))</f>
        <v>46257</v>
      </c>
      <c r="AN84" s="1423" t="n">
        <v>46257</v>
      </c>
      <c r="AO84" s="1423" t="n">
        <v>46317</v>
      </c>
    </row>
    <row r="85" ht="38" customHeight="1">
      <c r="A85" s="280" t="str">
        <v>U084</v>
      </c>
      <c r="B85" s="281" t="str">
        <v>نظریه‌های روان‌درمانی پروچاسکا</v>
      </c>
      <c r="C85" s="281" t="str">
        <v>نظریه‌های روان‌درمانی پروچاسکا</v>
      </c>
      <c r="D85" s="281" t="str">
        <v>6</v>
      </c>
      <c r="E85" s="281" t="str">
        <v>درمان‌های تجربی</v>
      </c>
      <c r="F85" s="281" t="str">
        <v>واحد مطالعه بر اساس بازهٔ صفحه</v>
      </c>
      <c r="G85" s="281" t="str">
        <v>۲۵۶ تا ۲۸۳</v>
      </c>
      <c r="H85" s="681" t="n">
        <v>28</v>
      </c>
      <c r="I85" s="281" t="str">
        <v>۱۴۰۵/۰۶/۰۱</v>
      </c>
      <c r="J85" s="684" t="n">
        <v>87</v>
      </c>
      <c r="K85" s="281" t="str">
        <v>۱۴۰۵/۰۶/۰۱</v>
      </c>
      <c r="L85" s="281" t="str">
        <v>۱۴۰۵/۰۶/۰۲</v>
      </c>
      <c r="M85" s="281" t="str">
        <v>۱۴۰۵/۰۶/۰۴</v>
      </c>
      <c r="N85" s="281" t="str">
        <v>۱۴۰۵/۰۶/۰۸</v>
      </c>
      <c r="O85" s="281" t="str">
        <v>۱۴۰۵/۰۶/۱۵</v>
      </c>
      <c r="P85" s="281" t="str">
        <v>۱۴۰۵/۰۶/۲۹</v>
      </c>
      <c r="Q85" s="411"/>
      <c r="R85" s="687" t="n">
        <v>1</v>
      </c>
      <c r="S85" s="687"/>
      <c r="T85" s="412"/>
      <c r="U85" s="412"/>
      <c r="V85" s="412"/>
      <c r="W85" s="687" t="str">
        <v>0</v>
      </c>
      <c r="X85" s="412" t="str">
        <v>خیر</v>
      </c>
      <c r="Y85" s="413" t="str">
        <v>خیر</v>
      </c>
      <c r="Z85" s="430" t="str">
        <f>IF(AM85="","",IF(AM85&gt;AO85,"تثبیت نهایی",IFERROR(INDEX('برنامه خرد'!$A$2:$A$82,MATCH(AM85,'برنامه خرد'!$I$2:$I$82,0)),"تثبیت نهایی")))</f>
        <v>۱۴۰۵/۰۶/۰۳</v>
      </c>
      <c r="AA85" s="431" t="str">
        <v>۱۴۰۵/۰۶/۰۳</v>
      </c>
      <c r="AB85" s="690" t="n">
        <f>IF(AM85="","",AM85-AN85)</f>
        <v>0</v>
      </c>
      <c r="AC85" s="431" t="str">
        <f>IF(AM85="","فاقد داده",IF(AM85&gt;AO85,"انتقال به تثبیت نهایی",IF(AM85&lt;TODAY(),"عقب‌افتاده",IF(AM85=TODAY(),"سررسید امروز","آینده"))))</f>
        <v>آینده</v>
      </c>
      <c r="AD85" s="432" t="str">
        <f>IF(OR(AM85&gt;AO85,Z85="تثبیت نهایی"),"بله","خیر")</f>
        <v>خیر</v>
      </c>
      <c r="AE85" s="436" t="str">
        <v>این فرمول فقط تاریخ پیشنهادی را محاسبه می‌کند و ردیف‌های برنامهٔ روزانه را خودکار جابه‌جا نمی‌کند.</v>
      </c>
      <c r="AF85" s="1423" t="n">
        <v>46257</v>
      </c>
      <c r="AG85" s="1423" t="n">
        <v>46258</v>
      </c>
      <c r="AH85" s="1423" t="n">
        <v>46260</v>
      </c>
      <c r="AI85" s="1423" t="n">
        <v>46264</v>
      </c>
      <c r="AJ85" s="1423" t="n">
        <v>46271</v>
      </c>
      <c r="AK85" s="1423" t="n">
        <v>46285</v>
      </c>
      <c r="AL85" s="1423" t="str">
        <f>IFERROR(INDEX('برنامه خرد'!$I$2:$I$82,MATCH(Q85,'برنامه خرد'!$A$2:$A$82,0)),"")</f>
      </c>
      <c r="AM85" s="1423" t="n">
        <f>IF(AL85="",AN85,IF(T85="غلط یا کمتر از ۵۰٪",AL85+1,IF(T85="ناقص یا همراه با حدس",AL85+2,IF(T85="درست ولی کند و مردد",AL85+4,IF(T85="درست، سریع و کامل",IF(W85&gt;=2,AL85+IF(R85&lt;14,14,28),AL85+MIN(28,MAX(3,R85*2))),AN85)))))</f>
        <v>46259</v>
      </c>
      <c r="AN85" s="1423" t="n">
        <v>46259</v>
      </c>
      <c r="AO85" s="1423" t="n">
        <v>46317</v>
      </c>
    </row>
    <row r="86" ht="38" customHeight="1">
      <c r="A86" s="366" t="str">
        <v>U085</v>
      </c>
      <c r="B86" s="367" t="str">
        <v>نظریه‌های روان‌درمانی پروچاسکا</v>
      </c>
      <c r="C86" s="367" t="str">
        <v>نظریه‌های روان‌درمانی پروچاسکا</v>
      </c>
      <c r="D86" s="367" t="str">
        <v>6</v>
      </c>
      <c r="E86" s="367" t="str">
        <v>درمان‌های تجربی</v>
      </c>
      <c r="F86" s="367" t="str">
        <v>واحد مطالعه بر اساس بازهٔ صفحه</v>
      </c>
      <c r="G86" s="367" t="str">
        <v>۲۸۴ تا ۲۹۱</v>
      </c>
      <c r="H86" s="680" t="n">
        <v>8</v>
      </c>
      <c r="I86" s="367" t="str">
        <v>۱۴۰۵/۰۶/۰۳</v>
      </c>
      <c r="J86" s="683" t="n">
        <v>25</v>
      </c>
      <c r="K86" s="367" t="str">
        <v>۱۴۰۵/۰۶/۰۳</v>
      </c>
      <c r="L86" s="367" t="str">
        <v>۱۴۰۵/۰۶/۰۴</v>
      </c>
      <c r="M86" s="367" t="str">
        <v>۱۴۰۵/۰۶/۰۶</v>
      </c>
      <c r="N86" s="367" t="str">
        <v>۱۴۰۵/۰۶/۱۰</v>
      </c>
      <c r="O86" s="367" t="str">
        <v>۱۴۰۵/۰۶/۱۷</v>
      </c>
      <c r="P86" s="367" t="str">
        <v>۱۴۰۵/۰۶/۳۱</v>
      </c>
      <c r="Q86" s="411"/>
      <c r="R86" s="687" t="n">
        <v>1</v>
      </c>
      <c r="S86" s="687"/>
      <c r="T86" s="412"/>
      <c r="U86" s="412"/>
      <c r="V86" s="412"/>
      <c r="W86" s="687" t="str">
        <v>0</v>
      </c>
      <c r="X86" s="412" t="str">
        <v>خیر</v>
      </c>
      <c r="Y86" s="413" t="str">
        <v>خیر</v>
      </c>
      <c r="Z86" s="430" t="str">
        <f>IF(AM86="","",IF(AM86&gt;AO86,"تثبیت نهایی",IFERROR(INDEX('برنامه خرد'!$A$2:$A$82,MATCH(AM86,'برنامه خرد'!$I$2:$I$82,0)),"تثبیت نهایی")))</f>
        <v>۱۴۰۵/۰۶/۰۴</v>
      </c>
      <c r="AA86" s="431" t="str">
        <v>۱۴۰۵/۰۶/۰۴</v>
      </c>
      <c r="AB86" s="690" t="n">
        <f>IF(AM86="","",AM86-AN86)</f>
        <v>0</v>
      </c>
      <c r="AC86" s="431" t="str">
        <f>IF(AM86="","فاقد داده",IF(AM86&gt;AO86,"انتقال به تثبیت نهایی",IF(AM86&lt;TODAY(),"عقب‌افتاده",IF(AM86=TODAY(),"سررسید امروز","آینده"))))</f>
        <v>آینده</v>
      </c>
      <c r="AD86" s="432" t="str">
        <f>IF(OR(AM86&gt;AO86,Z86="تثبیت نهایی"),"بله","خیر")</f>
        <v>خیر</v>
      </c>
      <c r="AE86" s="436" t="str">
        <v>این فرمول فقط تاریخ پیشنهادی را محاسبه می‌کند و ردیف‌های برنامهٔ روزانه را خودکار جابه‌جا نمی‌کند.</v>
      </c>
      <c r="AF86" s="1423" t="n">
        <v>46259</v>
      </c>
      <c r="AG86" s="1423" t="n">
        <v>46260</v>
      </c>
      <c r="AH86" s="1423" t="n">
        <v>46262</v>
      </c>
      <c r="AI86" s="1423" t="n">
        <v>46266</v>
      </c>
      <c r="AJ86" s="1423" t="n">
        <v>46273</v>
      </c>
      <c r="AK86" s="1423" t="n">
        <v>46287</v>
      </c>
      <c r="AL86" s="1423" t="str">
        <f>IFERROR(INDEX('برنامه خرد'!$I$2:$I$82,MATCH(Q86,'برنامه خرد'!$A$2:$A$82,0)),"")</f>
      </c>
      <c r="AM86" s="1423" t="n">
        <f>IF(AL86="",AN86,IF(T86="غلط یا کمتر از ۵۰٪",AL86+1,IF(T86="ناقص یا همراه با حدس",AL86+2,IF(T86="درست ولی کند و مردد",AL86+4,IF(T86="درست، سریع و کامل",IF(W86&gt;=2,AL86+IF(R86&lt;14,14,28),AL86+MIN(28,MAX(3,R86*2))),AN86)))))</f>
        <v>46260</v>
      </c>
      <c r="AN86" s="1423" t="n">
        <v>46260</v>
      </c>
      <c r="AO86" s="1423" t="n">
        <v>46317</v>
      </c>
    </row>
    <row r="87" ht="38" customHeight="1">
      <c r="A87" s="280" t="str">
        <v>U086</v>
      </c>
      <c r="B87" s="281" t="str">
        <v>نظریه‌های روان‌درمانی پروچاسکا</v>
      </c>
      <c r="C87" s="281" t="str">
        <v>نظریه‌های روان‌درمانی پروچاسکا</v>
      </c>
      <c r="D87" s="281" t="str">
        <v>6</v>
      </c>
      <c r="E87" s="281" t="str">
        <v>درمان‌های تجربی</v>
      </c>
      <c r="F87" s="281" t="str">
        <v>واحد مطالعه بر اساس بازهٔ صفحه</v>
      </c>
      <c r="G87" s="281" t="str">
        <v>۲۹۲ تا ۲۹۹</v>
      </c>
      <c r="H87" s="681" t="n">
        <v>8</v>
      </c>
      <c r="I87" s="281" t="str">
        <v>۱۴۰۵/۰۶/۰۴</v>
      </c>
      <c r="J87" s="684" t="n">
        <v>25</v>
      </c>
      <c r="K87" s="281" t="str">
        <v>۱۴۰۵/۰۶/۰۴</v>
      </c>
      <c r="L87" s="281" t="str">
        <v>۱۴۰۵/۰۶/۰۵</v>
      </c>
      <c r="M87" s="281" t="str">
        <v>۱۴۰۵/۰۶/۰۷</v>
      </c>
      <c r="N87" s="281" t="str">
        <v>۱۴۰۵/۰۶/۱۱</v>
      </c>
      <c r="O87" s="281" t="str">
        <v>۱۴۰۵/۰۶/۱۸</v>
      </c>
      <c r="P87" s="281" t="str">
        <v>۱۴۰۵/۰۷/۰۱</v>
      </c>
      <c r="Q87" s="411"/>
      <c r="R87" s="687" t="n">
        <v>1</v>
      </c>
      <c r="S87" s="687"/>
      <c r="T87" s="412"/>
      <c r="U87" s="412"/>
      <c r="V87" s="412"/>
      <c r="W87" s="687" t="str">
        <v>0</v>
      </c>
      <c r="X87" s="412" t="str">
        <v>خیر</v>
      </c>
      <c r="Y87" s="413" t="str">
        <v>خیر</v>
      </c>
      <c r="Z87" s="430" t="str">
        <f>IF(AM87="","",IF(AM87&gt;AO87,"تثبیت نهایی",IFERROR(INDEX('برنامه خرد'!$A$2:$A$82,MATCH(AM87,'برنامه خرد'!$I$2:$I$82,0)),"تثبیت نهایی")))</f>
        <v>۱۴۰۵/۰۶/۰۵</v>
      </c>
      <c r="AA87" s="431" t="str">
        <v>۱۴۰۵/۰۶/۰۵</v>
      </c>
      <c r="AB87" s="690" t="n">
        <f>IF(AM87="","",AM87-AN87)</f>
        <v>0</v>
      </c>
      <c r="AC87" s="431" t="str">
        <f>IF(AM87="","فاقد داده",IF(AM87&gt;AO87,"انتقال به تثبیت نهایی",IF(AM87&lt;TODAY(),"عقب‌افتاده",IF(AM87=TODAY(),"سررسید امروز","آینده"))))</f>
        <v>آینده</v>
      </c>
      <c r="AD87" s="432" t="str">
        <f>IF(OR(AM87&gt;AO87,Z87="تثبیت نهایی"),"بله","خیر")</f>
        <v>خیر</v>
      </c>
      <c r="AE87" s="436" t="str">
        <v>این فرمول فقط تاریخ پیشنهادی را محاسبه می‌کند و ردیف‌های برنامهٔ روزانه را خودکار جابه‌جا نمی‌کند.</v>
      </c>
      <c r="AF87" s="1423" t="n">
        <v>46260</v>
      </c>
      <c r="AG87" s="1423" t="n">
        <v>46261</v>
      </c>
      <c r="AH87" s="1423" t="n">
        <v>46263</v>
      </c>
      <c r="AI87" s="1423" t="n">
        <v>46267</v>
      </c>
      <c r="AJ87" s="1423" t="n">
        <v>46274</v>
      </c>
      <c r="AK87" s="1423" t="n">
        <v>46288</v>
      </c>
      <c r="AL87" s="1423" t="str">
        <f>IFERROR(INDEX('برنامه خرد'!$I$2:$I$82,MATCH(Q87,'برنامه خرد'!$A$2:$A$82,0)),"")</f>
      </c>
      <c r="AM87" s="1423" t="n">
        <f>IF(AL87="",AN87,IF(T87="غلط یا کمتر از ۵۰٪",AL87+1,IF(T87="ناقص یا همراه با حدس",AL87+2,IF(T87="درست ولی کند و مردد",AL87+4,IF(T87="درست، سریع و کامل",IF(W87&gt;=2,AL87+IF(R87&lt;14,14,28),AL87+MIN(28,MAX(3,R87*2))),AN87)))))</f>
        <v>46261</v>
      </c>
      <c r="AN87" s="1423" t="n">
        <v>46261</v>
      </c>
      <c r="AO87" s="1423" t="n">
        <v>46317</v>
      </c>
    </row>
    <row r="88" ht="38" customHeight="1">
      <c r="A88" s="366" t="str">
        <v>U087</v>
      </c>
      <c r="B88" s="367" t="str">
        <v>نظریه‌های روان‌درمانی پروچاسکا</v>
      </c>
      <c r="C88" s="367" t="str">
        <v>نظریه‌های روان‌درمانی پروچاسکا</v>
      </c>
      <c r="D88" s="367" t="str">
        <v>6</v>
      </c>
      <c r="E88" s="367" t="str">
        <v>درمان‌های تجربی</v>
      </c>
      <c r="F88" s="367" t="str">
        <v>واحد مطالعه بر اساس بازهٔ صفحه</v>
      </c>
      <c r="G88" s="367" t="str">
        <v>۳۰۰ تا ۳۰۰</v>
      </c>
      <c r="H88" s="680" t="n">
        <v>1</v>
      </c>
      <c r="I88" s="367" t="str">
        <v>۱۴۰۵/۰۶/۰۵</v>
      </c>
      <c r="J88" s="683" t="n">
        <v>3.1</v>
      </c>
      <c r="K88" s="367" t="str">
        <v>۱۴۰۵/۰۶/۰۵</v>
      </c>
      <c r="L88" s="367" t="str">
        <v>۱۴۰۵/۰۶/۰۶</v>
      </c>
      <c r="M88" s="367" t="str">
        <v>۱۴۰۵/۰۶/۰۸</v>
      </c>
      <c r="N88" s="367" t="str">
        <v>۱۴۰۵/۰۶/۱۲</v>
      </c>
      <c r="O88" s="367" t="str">
        <v>۱۴۰۵/۰۶/۱۹</v>
      </c>
      <c r="P88" s="367" t="str">
        <v>۱۴۰۵/۰۷/۰۲</v>
      </c>
      <c r="Q88" s="411"/>
      <c r="R88" s="687" t="n">
        <v>1</v>
      </c>
      <c r="S88" s="687"/>
      <c r="T88" s="412"/>
      <c r="U88" s="412"/>
      <c r="V88" s="412"/>
      <c r="W88" s="687" t="str">
        <v>0</v>
      </c>
      <c r="X88" s="412" t="str">
        <v>خیر</v>
      </c>
      <c r="Y88" s="413" t="str">
        <v>خیر</v>
      </c>
      <c r="Z88" s="430" t="str">
        <f>IF(AM88="","",IF(AM88&gt;AO88,"تثبیت نهایی",IFERROR(INDEX('برنامه خرد'!$A$2:$A$82,MATCH(AM88,'برنامه خرد'!$I$2:$I$82,0)),"تثبیت نهایی")))</f>
        <v>۱۴۰۵/۰۶/۰۶</v>
      </c>
      <c r="AA88" s="431" t="str">
        <v>۱۴۰۵/۰۶/۰۶</v>
      </c>
      <c r="AB88" s="690" t="n">
        <f>IF(AM88="","",AM88-AN88)</f>
        <v>0</v>
      </c>
      <c r="AC88" s="431" t="str">
        <f>IF(AM88="","فاقد داده",IF(AM88&gt;AO88,"انتقال به تثبیت نهایی",IF(AM88&lt;TODAY(),"عقب‌افتاده",IF(AM88=TODAY(),"سررسید امروز","آینده"))))</f>
        <v>آینده</v>
      </c>
      <c r="AD88" s="432" t="str">
        <f>IF(OR(AM88&gt;AO88,Z88="تثبیت نهایی"),"بله","خیر")</f>
        <v>خیر</v>
      </c>
      <c r="AE88" s="436" t="str">
        <v>این فرمول فقط تاریخ پیشنهادی را محاسبه می‌کند و ردیف‌های برنامهٔ روزانه را خودکار جابه‌جا نمی‌کند.</v>
      </c>
      <c r="AF88" s="1423" t="n">
        <v>46261</v>
      </c>
      <c r="AG88" s="1423" t="n">
        <v>46262</v>
      </c>
      <c r="AH88" s="1423" t="n">
        <v>46264</v>
      </c>
      <c r="AI88" s="1423" t="n">
        <v>46268</v>
      </c>
      <c r="AJ88" s="1423" t="n">
        <v>46275</v>
      </c>
      <c r="AK88" s="1423" t="n">
        <v>46289</v>
      </c>
      <c r="AL88" s="1423" t="str">
        <f>IFERROR(INDEX('برنامه خرد'!$I$2:$I$82,MATCH(Q88,'برنامه خرد'!$A$2:$A$82,0)),"")</f>
      </c>
      <c r="AM88" s="1423" t="n">
        <f>IF(AL88="",AN88,IF(T88="غلط یا کمتر از ۵۰٪",AL88+1,IF(T88="ناقص یا همراه با حدس",AL88+2,IF(T88="درست ولی کند و مردد",AL88+4,IF(T88="درست، سریع و کامل",IF(W88&gt;=2,AL88+IF(R88&lt;14,14,28),AL88+MIN(28,MAX(3,R88*2))),AN88)))))</f>
        <v>46262</v>
      </c>
      <c r="AN88" s="1423" t="n">
        <v>46262</v>
      </c>
      <c r="AO88" s="1423" t="n">
        <v>46317</v>
      </c>
    </row>
    <row r="89" ht="38" customHeight="1">
      <c r="A89" s="280" t="str">
        <v>U088</v>
      </c>
      <c r="B89" s="281" t="str">
        <v>نظریه‌های روان‌درمانی پروچاسکا</v>
      </c>
      <c r="C89" s="281" t="str">
        <v>نظریه‌های روان‌درمانی پروچاسکا</v>
      </c>
      <c r="D89" s="281" t="str">
        <v>7</v>
      </c>
      <c r="E89" s="281" t="str">
        <v>درمان‌های بین‌فردی</v>
      </c>
      <c r="F89" s="281" t="str">
        <v>واحد مطالعه بر اساس بازهٔ صفحه</v>
      </c>
      <c r="G89" s="281" t="str">
        <v>۳۰۱ تا ۳۰۷</v>
      </c>
      <c r="H89" s="681" t="n">
        <v>7</v>
      </c>
      <c r="I89" s="281" t="str">
        <v>۱۴۰۵/۰۶/۰۵</v>
      </c>
      <c r="J89" s="684" t="n">
        <v>21.9</v>
      </c>
      <c r="K89" s="281" t="str">
        <v>۱۴۰۵/۰۶/۰۵</v>
      </c>
      <c r="L89" s="281" t="str">
        <v>۱۴۰۵/۰۶/۰۶</v>
      </c>
      <c r="M89" s="281" t="str">
        <v>۱۴۰۵/۰۶/۰۸</v>
      </c>
      <c r="N89" s="281" t="str">
        <v>۱۴۰۵/۰۶/۱۲</v>
      </c>
      <c r="O89" s="281" t="str">
        <v>۱۴۰۵/۰۶/۱۹</v>
      </c>
      <c r="P89" s="281" t="str">
        <v>۱۴۰۵/۰۷/۰۲</v>
      </c>
      <c r="Q89" s="411"/>
      <c r="R89" s="687" t="n">
        <v>1</v>
      </c>
      <c r="S89" s="687"/>
      <c r="T89" s="412"/>
      <c r="U89" s="412"/>
      <c r="V89" s="412"/>
      <c r="W89" s="687" t="str">
        <v>0</v>
      </c>
      <c r="X89" s="412" t="str">
        <v>خیر</v>
      </c>
      <c r="Y89" s="413" t="str">
        <v>خیر</v>
      </c>
      <c r="Z89" s="430" t="str">
        <f>IF(AM89="","",IF(AM89&gt;AO89,"تثبیت نهایی",IFERROR(INDEX('برنامه خرد'!$A$2:$A$82,MATCH(AM89,'برنامه خرد'!$I$2:$I$82,0)),"تثبیت نهایی")))</f>
        <v>۱۴۰۵/۰۶/۰۶</v>
      </c>
      <c r="AA89" s="431" t="str">
        <v>۱۴۰۵/۰۶/۰۶</v>
      </c>
      <c r="AB89" s="690" t="n">
        <f>IF(AM89="","",AM89-AN89)</f>
        <v>0</v>
      </c>
      <c r="AC89" s="431" t="str">
        <f>IF(AM89="","فاقد داده",IF(AM89&gt;AO89,"انتقال به تثبیت نهایی",IF(AM89&lt;TODAY(),"عقب‌افتاده",IF(AM89=TODAY(),"سررسید امروز","آینده"))))</f>
        <v>آینده</v>
      </c>
      <c r="AD89" s="432" t="str">
        <f>IF(OR(AM89&gt;AO89,Z89="تثبیت نهایی"),"بله","خیر")</f>
        <v>خیر</v>
      </c>
      <c r="AE89" s="436" t="str">
        <v>این فرمول فقط تاریخ پیشنهادی را محاسبه می‌کند و ردیف‌های برنامهٔ روزانه را خودکار جابه‌جا نمی‌کند.</v>
      </c>
      <c r="AF89" s="1423" t="n">
        <v>46261</v>
      </c>
      <c r="AG89" s="1423" t="n">
        <v>46262</v>
      </c>
      <c r="AH89" s="1423" t="n">
        <v>46264</v>
      </c>
      <c r="AI89" s="1423" t="n">
        <v>46268</v>
      </c>
      <c r="AJ89" s="1423" t="n">
        <v>46275</v>
      </c>
      <c r="AK89" s="1423" t="n">
        <v>46289</v>
      </c>
      <c r="AL89" s="1423" t="str">
        <f>IFERROR(INDEX('برنامه خرد'!$I$2:$I$82,MATCH(Q89,'برنامه خرد'!$A$2:$A$82,0)),"")</f>
      </c>
      <c r="AM89" s="1423" t="n">
        <f>IF(AL89="",AN89,IF(T89="غلط یا کمتر از ۵۰٪",AL89+1,IF(T89="ناقص یا همراه با حدس",AL89+2,IF(T89="درست ولی کند و مردد",AL89+4,IF(T89="درست، سریع و کامل",IF(W89&gt;=2,AL89+IF(R89&lt;14,14,28),AL89+MIN(28,MAX(3,R89*2))),AN89)))))</f>
        <v>46262</v>
      </c>
      <c r="AN89" s="1423" t="n">
        <v>46262</v>
      </c>
      <c r="AO89" s="1423" t="n">
        <v>46317</v>
      </c>
    </row>
    <row r="90" ht="38" customHeight="1">
      <c r="A90" s="366" t="str">
        <v>U089</v>
      </c>
      <c r="B90" s="367" t="str">
        <v>نظریه‌های روان‌درمانی پروچاسکا</v>
      </c>
      <c r="C90" s="367" t="str">
        <v>نظریه‌های روان‌درمانی پروچاسکا</v>
      </c>
      <c r="D90" s="367" t="str">
        <v>7</v>
      </c>
      <c r="E90" s="367" t="str">
        <v>درمان‌های بین‌فردی</v>
      </c>
      <c r="F90" s="367" t="str">
        <v>واحد مطالعه بر اساس بازهٔ صفحه</v>
      </c>
      <c r="G90" s="367" t="str">
        <v>۳۰۸ تا ۳۳۵</v>
      </c>
      <c r="H90" s="680" t="n">
        <v>28</v>
      </c>
      <c r="I90" s="367" t="str">
        <v>۱۴۰۵/۰۶/۰۶</v>
      </c>
      <c r="J90" s="683" t="n">
        <v>87</v>
      </c>
      <c r="K90" s="367" t="str">
        <v>۱۴۰۵/۰۶/۰۶</v>
      </c>
      <c r="L90" s="367" t="str">
        <v>۱۴۰۵/۰۶/۰۷</v>
      </c>
      <c r="M90" s="367" t="str">
        <v>۱۴۰۵/۰۶/۰۹</v>
      </c>
      <c r="N90" s="367" t="str">
        <v>۱۴۰۵/۰۶/۱۳</v>
      </c>
      <c r="O90" s="367" t="str">
        <v>۱۴۰۵/۰۶/۲۰</v>
      </c>
      <c r="P90" s="367" t="str">
        <v>۱۴۰۵/۰۷/۰۳</v>
      </c>
      <c r="Q90" s="411"/>
      <c r="R90" s="687" t="n">
        <v>1</v>
      </c>
      <c r="S90" s="687"/>
      <c r="T90" s="412"/>
      <c r="U90" s="412"/>
      <c r="V90" s="412"/>
      <c r="W90" s="687" t="str">
        <v>0</v>
      </c>
      <c r="X90" s="412" t="str">
        <v>خیر</v>
      </c>
      <c r="Y90" s="413" t="str">
        <v>خیر</v>
      </c>
      <c r="Z90" s="430" t="str">
        <f>IF(AM90="","",IF(AM90&gt;AO90,"تثبیت نهایی",IFERROR(INDEX('برنامه خرد'!$A$2:$A$82,MATCH(AM90,'برنامه خرد'!$I$2:$I$82,0)),"تثبیت نهایی")))</f>
        <v>۱۴۰۵/۰۶/۰۸</v>
      </c>
      <c r="AA90" s="431" t="str">
        <v>۱۴۰۵/۰۶/۰۸</v>
      </c>
      <c r="AB90" s="690" t="n">
        <f>IF(AM90="","",AM90-AN90)</f>
        <v>0</v>
      </c>
      <c r="AC90" s="431" t="str">
        <f>IF(AM90="","فاقد داده",IF(AM90&gt;AO90,"انتقال به تثبیت نهایی",IF(AM90&lt;TODAY(),"عقب‌افتاده",IF(AM90=TODAY(),"سررسید امروز","آینده"))))</f>
        <v>آینده</v>
      </c>
      <c r="AD90" s="432" t="str">
        <f>IF(OR(AM90&gt;AO90,Z90="تثبیت نهایی"),"بله","خیر")</f>
        <v>خیر</v>
      </c>
      <c r="AE90" s="436" t="str">
        <v>این فرمول فقط تاریخ پیشنهادی را محاسبه می‌کند و ردیف‌های برنامهٔ روزانه را خودکار جابه‌جا نمی‌کند.</v>
      </c>
      <c r="AF90" s="1423" t="n">
        <v>46262</v>
      </c>
      <c r="AG90" s="1423" t="n">
        <v>46263</v>
      </c>
      <c r="AH90" s="1423" t="n">
        <v>46265</v>
      </c>
      <c r="AI90" s="1423" t="n">
        <v>46269</v>
      </c>
      <c r="AJ90" s="1423" t="n">
        <v>46276</v>
      </c>
      <c r="AK90" s="1423" t="n">
        <v>46290</v>
      </c>
      <c r="AL90" s="1423" t="str">
        <f>IFERROR(INDEX('برنامه خرد'!$I$2:$I$82,MATCH(Q90,'برنامه خرد'!$A$2:$A$82,0)),"")</f>
      </c>
      <c r="AM90" s="1423" t="n">
        <f>IF(AL90="",AN90,IF(T90="غلط یا کمتر از ۵۰٪",AL90+1,IF(T90="ناقص یا همراه با حدس",AL90+2,IF(T90="درست ولی کند و مردد",AL90+4,IF(T90="درست، سریع و کامل",IF(W90&gt;=2,AL90+IF(R90&lt;14,14,28),AL90+MIN(28,MAX(3,R90*2))),AN90)))))</f>
        <v>46264</v>
      </c>
      <c r="AN90" s="1423" t="n">
        <v>46264</v>
      </c>
      <c r="AO90" s="1423" t="n">
        <v>46317</v>
      </c>
    </row>
    <row r="91" ht="38" customHeight="1">
      <c r="A91" s="280" t="str">
        <v>U090</v>
      </c>
      <c r="B91" s="281" t="str">
        <v>نظریه‌های روان‌درمانی پروچاسکا</v>
      </c>
      <c r="C91" s="281" t="str">
        <v>نظریه‌های روان‌درمانی پروچاسکا</v>
      </c>
      <c r="D91" s="281" t="str">
        <v>7</v>
      </c>
      <c r="E91" s="281" t="str">
        <v>درمان‌های بین‌فردی</v>
      </c>
      <c r="F91" s="281" t="str">
        <v>واحد مطالعه بر اساس بازهٔ صفحه</v>
      </c>
      <c r="G91" s="281" t="str">
        <v>۳۳۶ تا ۳۳۸</v>
      </c>
      <c r="H91" s="681" t="n">
        <v>3</v>
      </c>
      <c r="I91" s="281" t="str">
        <v>۱۴۰۵/۰۶/۰۸</v>
      </c>
      <c r="J91" s="684" t="n">
        <v>9.3</v>
      </c>
      <c r="K91" s="281" t="str">
        <v>۱۴۰۵/۰۶/۰۸</v>
      </c>
      <c r="L91" s="281" t="str">
        <v>۱۴۰۵/۰۶/۰۹</v>
      </c>
      <c r="M91" s="281" t="str">
        <v>۱۴۰۵/۰۶/۱۱</v>
      </c>
      <c r="N91" s="281" t="str">
        <v>۱۴۰۵/۰۶/۱۵</v>
      </c>
      <c r="O91" s="281" t="str">
        <v>۱۴۰۵/۰۶/۲۲</v>
      </c>
      <c r="P91" s="281" t="str">
        <v>۱۴۰۵/۰۷/۰۵</v>
      </c>
      <c r="Q91" s="411"/>
      <c r="R91" s="687" t="n">
        <v>1</v>
      </c>
      <c r="S91" s="687"/>
      <c r="T91" s="412"/>
      <c r="U91" s="412"/>
      <c r="V91" s="412"/>
      <c r="W91" s="687" t="str">
        <v>0</v>
      </c>
      <c r="X91" s="412" t="str">
        <v>خیر</v>
      </c>
      <c r="Y91" s="413" t="str">
        <v>خیر</v>
      </c>
      <c r="Z91" s="430" t="str">
        <f>IF(AM91="","",IF(AM91&gt;AO91,"تثبیت نهایی",IFERROR(INDEX('برنامه خرد'!$A$2:$A$82,MATCH(AM91,'برنامه خرد'!$I$2:$I$82,0)),"تثبیت نهایی")))</f>
        <v>۱۴۰۵/۰۶/۱۰</v>
      </c>
      <c r="AA91" s="431" t="str">
        <v>۱۴۰۵/۰۶/۱۰</v>
      </c>
      <c r="AB91" s="690" t="n">
        <f>IF(AM91="","",AM91-AN91)</f>
        <v>0</v>
      </c>
      <c r="AC91" s="431" t="str">
        <f>IF(AM91="","فاقد داده",IF(AM91&gt;AO91,"انتقال به تثبیت نهایی",IF(AM91&lt;TODAY(),"عقب‌افتاده",IF(AM91=TODAY(),"سررسید امروز","آینده"))))</f>
        <v>آینده</v>
      </c>
      <c r="AD91" s="432" t="str">
        <f>IF(OR(AM91&gt;AO91,Z91="تثبیت نهایی"),"بله","خیر")</f>
        <v>خیر</v>
      </c>
      <c r="AE91" s="436" t="str">
        <v>این فرمول فقط تاریخ پیشنهادی را محاسبه می‌کند و ردیف‌های برنامهٔ روزانه را خودکار جابه‌جا نمی‌کند.</v>
      </c>
      <c r="AF91" s="1423" t="n">
        <v>46264</v>
      </c>
      <c r="AG91" s="1423" t="n">
        <v>46265</v>
      </c>
      <c r="AH91" s="1423" t="n">
        <v>46267</v>
      </c>
      <c r="AI91" s="1423" t="n">
        <v>46271</v>
      </c>
      <c r="AJ91" s="1423" t="n">
        <v>46278</v>
      </c>
      <c r="AK91" s="1423" t="n">
        <v>46292</v>
      </c>
      <c r="AL91" s="1423" t="str">
        <f>IFERROR(INDEX('برنامه خرد'!$I$2:$I$82,MATCH(Q91,'برنامه خرد'!$A$2:$A$82,0)),"")</f>
      </c>
      <c r="AM91" s="1423" t="n">
        <f>IF(AL91="",AN91,IF(T91="غلط یا کمتر از ۵۰٪",AL91+1,IF(T91="ناقص یا همراه با حدس",AL91+2,IF(T91="درست ولی کند و مردد",AL91+4,IF(T91="درست، سریع و کامل",IF(W91&gt;=2,AL91+IF(R91&lt;14,14,28),AL91+MIN(28,MAX(3,R91*2))),AN91)))))</f>
        <v>46266</v>
      </c>
      <c r="AN91" s="1423" t="n">
        <v>46266</v>
      </c>
      <c r="AO91" s="1423" t="n">
        <v>46317</v>
      </c>
    </row>
    <row r="92" ht="38" customHeight="1">
      <c r="A92" s="366" t="str">
        <v>U091</v>
      </c>
      <c r="B92" s="367" t="str">
        <v>نظریه‌های روان‌درمانی پروچاسکا</v>
      </c>
      <c r="C92" s="367" t="str">
        <v>نظریه‌های روان‌درمانی پروچاسکا</v>
      </c>
      <c r="D92" s="367" t="str">
        <v>8</v>
      </c>
      <c r="E92" s="367" t="str">
        <v>درمان‌های مواجهه‌سازی</v>
      </c>
      <c r="F92" s="367" t="str">
        <v>واحد مطالعه بر اساس بازهٔ صفحه</v>
      </c>
      <c r="G92" s="367" t="str">
        <v>۳۳۹ تا ۳۶۳</v>
      </c>
      <c r="H92" s="680" t="n">
        <v>25</v>
      </c>
      <c r="I92" s="367" t="str">
        <v>۱۴۰۵/۰۶/۰۸</v>
      </c>
      <c r="J92" s="683" t="n">
        <v>77.7</v>
      </c>
      <c r="K92" s="367" t="str">
        <v>۱۴۰۵/۰۶/۰۸</v>
      </c>
      <c r="L92" s="367" t="str">
        <v>۱۴۰۵/۰۶/۰۹</v>
      </c>
      <c r="M92" s="367" t="str">
        <v>۱۴۰۵/۰۶/۱۱</v>
      </c>
      <c r="N92" s="367" t="str">
        <v>۱۴۰۵/۰۶/۱۵</v>
      </c>
      <c r="O92" s="367" t="str">
        <v>۱۴۰۵/۰۶/۲۲</v>
      </c>
      <c r="P92" s="367" t="str">
        <v>۱۴۰۵/۰۷/۰۵</v>
      </c>
      <c r="Q92" s="411"/>
      <c r="R92" s="687" t="n">
        <v>1</v>
      </c>
      <c r="S92" s="687"/>
      <c r="T92" s="412"/>
      <c r="U92" s="412"/>
      <c r="V92" s="412"/>
      <c r="W92" s="687" t="str">
        <v>0</v>
      </c>
      <c r="X92" s="412" t="str">
        <v>خیر</v>
      </c>
      <c r="Y92" s="413" t="str">
        <v>خیر</v>
      </c>
      <c r="Z92" s="430" t="str">
        <f>IF(AM92="","",IF(AM92&gt;AO92,"تثبیت نهایی",IFERROR(INDEX('برنامه خرد'!$A$2:$A$82,MATCH(AM92,'برنامه خرد'!$I$2:$I$82,0)),"تثبیت نهایی")))</f>
        <v>۱۴۰۵/۰۶/۱۰</v>
      </c>
      <c r="AA92" s="431" t="str">
        <v>۱۴۰۵/۰۶/۱۰</v>
      </c>
      <c r="AB92" s="690" t="n">
        <f>IF(AM92="","",AM92-AN92)</f>
        <v>0</v>
      </c>
      <c r="AC92" s="431" t="str">
        <f>IF(AM92="","فاقد داده",IF(AM92&gt;AO92,"انتقال به تثبیت نهایی",IF(AM92&lt;TODAY(),"عقب‌افتاده",IF(AM92=TODAY(),"سررسید امروز","آینده"))))</f>
        <v>آینده</v>
      </c>
      <c r="AD92" s="432" t="str">
        <f>IF(OR(AM92&gt;AO92,Z92="تثبیت نهایی"),"بله","خیر")</f>
        <v>خیر</v>
      </c>
      <c r="AE92" s="436" t="str">
        <v>این فرمول فقط تاریخ پیشنهادی را محاسبه می‌کند و ردیف‌های برنامهٔ روزانه را خودکار جابه‌جا نمی‌کند.</v>
      </c>
      <c r="AF92" s="1423" t="n">
        <v>46264</v>
      </c>
      <c r="AG92" s="1423" t="n">
        <v>46265</v>
      </c>
      <c r="AH92" s="1423" t="n">
        <v>46267</v>
      </c>
      <c r="AI92" s="1423" t="n">
        <v>46271</v>
      </c>
      <c r="AJ92" s="1423" t="n">
        <v>46278</v>
      </c>
      <c r="AK92" s="1423" t="n">
        <v>46292</v>
      </c>
      <c r="AL92" s="1423" t="str">
        <f>IFERROR(INDEX('برنامه خرد'!$I$2:$I$82,MATCH(Q92,'برنامه خرد'!$A$2:$A$82,0)),"")</f>
      </c>
      <c r="AM92" s="1423" t="n">
        <f>IF(AL92="",AN92,IF(T92="غلط یا کمتر از ۵۰٪",AL92+1,IF(T92="ناقص یا همراه با حدس",AL92+2,IF(T92="درست ولی کند و مردد",AL92+4,IF(T92="درست، سریع و کامل",IF(W92&gt;=2,AL92+IF(R92&lt;14,14,28),AL92+MIN(28,MAX(3,R92*2))),AN92)))))</f>
        <v>46266</v>
      </c>
      <c r="AN92" s="1423" t="n">
        <v>46266</v>
      </c>
      <c r="AO92" s="1423" t="n">
        <v>46317</v>
      </c>
    </row>
    <row r="93" ht="38" customHeight="1">
      <c r="A93" s="280" t="str">
        <v>U092</v>
      </c>
      <c r="B93" s="281" t="str">
        <v>نظریه‌های روان‌درمانی پروچاسکا</v>
      </c>
      <c r="C93" s="281" t="str">
        <v>نظریه‌های روان‌درمانی پروچاسکا</v>
      </c>
      <c r="D93" s="281" t="str">
        <v>8</v>
      </c>
      <c r="E93" s="281" t="str">
        <v>درمان‌های مواجهه‌سازی</v>
      </c>
      <c r="F93" s="281" t="str">
        <v>واحد مطالعه بر اساس بازهٔ صفحه</v>
      </c>
      <c r="G93" s="281" t="str">
        <v>۳۶۴ تا ۳۷۱</v>
      </c>
      <c r="H93" s="681" t="n">
        <v>8</v>
      </c>
      <c r="I93" s="281" t="str">
        <v>۱۴۰۵/۰۶/۱۰</v>
      </c>
      <c r="J93" s="684" t="n">
        <v>25</v>
      </c>
      <c r="K93" s="281" t="str">
        <v>۱۴۰۵/۰۶/۱۰</v>
      </c>
      <c r="L93" s="281" t="str">
        <v>۱۴۰۵/۰۶/۱۱</v>
      </c>
      <c r="M93" s="281" t="str">
        <v>۱۴۰۵/۰۶/۱۳</v>
      </c>
      <c r="N93" s="281" t="str">
        <v>۱۴۰۵/۰۶/۱۷</v>
      </c>
      <c r="O93" s="281" t="str">
        <v>۱۴۰۵/۰۶/۲۴</v>
      </c>
      <c r="P93" s="281" t="str">
        <v>۱۴۰۵/۰۷/۰۷</v>
      </c>
      <c r="Q93" s="411"/>
      <c r="R93" s="687" t="n">
        <v>1</v>
      </c>
      <c r="S93" s="687"/>
      <c r="T93" s="412"/>
      <c r="U93" s="412"/>
      <c r="V93" s="412"/>
      <c r="W93" s="687" t="str">
        <v>0</v>
      </c>
      <c r="X93" s="412" t="str">
        <v>خیر</v>
      </c>
      <c r="Y93" s="413" t="str">
        <v>خیر</v>
      </c>
      <c r="Z93" s="430" t="str">
        <f>IF(AM93="","",IF(AM93&gt;AO93,"تثبیت نهایی",IFERROR(INDEX('برنامه خرد'!$A$2:$A$82,MATCH(AM93,'برنامه خرد'!$I$2:$I$82,0)),"تثبیت نهایی")))</f>
        <v>۱۴۰۵/۰۶/۱۱</v>
      </c>
      <c r="AA93" s="431" t="str">
        <v>۱۴۰۵/۰۶/۱۱</v>
      </c>
      <c r="AB93" s="690" t="n">
        <f>IF(AM93="","",AM93-AN93)</f>
        <v>0</v>
      </c>
      <c r="AC93" s="431" t="str">
        <f>IF(AM93="","فاقد داده",IF(AM93&gt;AO93,"انتقال به تثبیت نهایی",IF(AM93&lt;TODAY(),"عقب‌افتاده",IF(AM93=TODAY(),"سررسید امروز","آینده"))))</f>
        <v>آینده</v>
      </c>
      <c r="AD93" s="432" t="str">
        <f>IF(OR(AM93&gt;AO93,Z93="تثبیت نهایی"),"بله","خیر")</f>
        <v>خیر</v>
      </c>
      <c r="AE93" s="436" t="str">
        <v>این فرمول فقط تاریخ پیشنهادی را محاسبه می‌کند و ردیف‌های برنامهٔ روزانه را خودکار جابه‌جا نمی‌کند.</v>
      </c>
      <c r="AF93" s="1423" t="n">
        <v>46266</v>
      </c>
      <c r="AG93" s="1423" t="n">
        <v>46267</v>
      </c>
      <c r="AH93" s="1423" t="n">
        <v>46269</v>
      </c>
      <c r="AI93" s="1423" t="n">
        <v>46273</v>
      </c>
      <c r="AJ93" s="1423" t="n">
        <v>46280</v>
      </c>
      <c r="AK93" s="1423" t="n">
        <v>46294</v>
      </c>
      <c r="AL93" s="1423" t="str">
        <f>IFERROR(INDEX('برنامه خرد'!$I$2:$I$82,MATCH(Q93,'برنامه خرد'!$A$2:$A$82,0)),"")</f>
      </c>
      <c r="AM93" s="1423" t="n">
        <f>IF(AL93="",AN93,IF(T93="غلط یا کمتر از ۵۰٪",AL93+1,IF(T93="ناقص یا همراه با حدس",AL93+2,IF(T93="درست ولی کند و مردد",AL93+4,IF(T93="درست، سریع و کامل",IF(W93&gt;=2,AL93+IF(R93&lt;14,14,28),AL93+MIN(28,MAX(3,R93*2))),AN93)))))</f>
        <v>46267</v>
      </c>
      <c r="AN93" s="1423" t="n">
        <v>46267</v>
      </c>
      <c r="AO93" s="1423" t="n">
        <v>46317</v>
      </c>
    </row>
    <row r="94" ht="38" customHeight="1">
      <c r="A94" s="366" t="str">
        <v>U093</v>
      </c>
      <c r="B94" s="367" t="str">
        <v>نظریه‌های روان‌درمانی پروچاسکا</v>
      </c>
      <c r="C94" s="367" t="str">
        <v>نظریه‌های روان‌درمانی پروچاسکا</v>
      </c>
      <c r="D94" s="367" t="str">
        <v>8</v>
      </c>
      <c r="E94" s="367" t="str">
        <v>درمان‌های مواجهه‌سازی</v>
      </c>
      <c r="F94" s="367" t="str">
        <v>واحد مطالعه بر اساس بازهٔ صفحه</v>
      </c>
      <c r="G94" s="367" t="str">
        <v>۳۷۲ تا ۳۷۹</v>
      </c>
      <c r="H94" s="680" t="n">
        <v>8</v>
      </c>
      <c r="I94" s="367" t="str">
        <v>۱۴۰۵/۰۶/۱۱</v>
      </c>
      <c r="J94" s="683" t="n">
        <v>25</v>
      </c>
      <c r="K94" s="367" t="str">
        <v>۱۴۰۵/۰۶/۱۱</v>
      </c>
      <c r="L94" s="367" t="str">
        <v>۱۴۰۵/۰۶/۱۲</v>
      </c>
      <c r="M94" s="367" t="str">
        <v>۱۴۰۵/۰۶/۱۴</v>
      </c>
      <c r="N94" s="367" t="str">
        <v>۱۴۰۵/۰۶/۱۸</v>
      </c>
      <c r="O94" s="367" t="str">
        <v>۱۴۰۵/۰۶/۲۵</v>
      </c>
      <c r="P94" s="367" t="str">
        <v>۱۴۰۵/۰۷/۰۸</v>
      </c>
      <c r="Q94" s="411"/>
      <c r="R94" s="687" t="n">
        <v>1</v>
      </c>
      <c r="S94" s="687"/>
      <c r="T94" s="412"/>
      <c r="U94" s="412"/>
      <c r="V94" s="412"/>
      <c r="W94" s="687" t="str">
        <v>0</v>
      </c>
      <c r="X94" s="412" t="str">
        <v>خیر</v>
      </c>
      <c r="Y94" s="413" t="str">
        <v>خیر</v>
      </c>
      <c r="Z94" s="430" t="str">
        <f>IF(AM94="","",IF(AM94&gt;AO94,"تثبیت نهایی",IFERROR(INDEX('برنامه خرد'!$A$2:$A$82,MATCH(AM94,'برنامه خرد'!$I$2:$I$82,0)),"تثبیت نهایی")))</f>
        <v>۱۴۰۵/۰۶/۱۲</v>
      </c>
      <c r="AA94" s="431" t="str">
        <v>۱۴۰۵/۰۶/۱۲</v>
      </c>
      <c r="AB94" s="690" t="n">
        <f>IF(AM94="","",AM94-AN94)</f>
        <v>0</v>
      </c>
      <c r="AC94" s="431" t="str">
        <f>IF(AM94="","فاقد داده",IF(AM94&gt;AO94,"انتقال به تثبیت نهایی",IF(AM94&lt;TODAY(),"عقب‌افتاده",IF(AM94=TODAY(),"سررسید امروز","آینده"))))</f>
        <v>آینده</v>
      </c>
      <c r="AD94" s="432" t="str">
        <f>IF(OR(AM94&gt;AO94,Z94="تثبیت نهایی"),"بله","خیر")</f>
        <v>خیر</v>
      </c>
      <c r="AE94" s="436" t="str">
        <v>این فرمول فقط تاریخ پیشنهادی را محاسبه می‌کند و ردیف‌های برنامهٔ روزانه را خودکار جابه‌جا نمی‌کند.</v>
      </c>
      <c r="AF94" s="1423" t="n">
        <v>46267</v>
      </c>
      <c r="AG94" s="1423" t="n">
        <v>46268</v>
      </c>
      <c r="AH94" s="1423" t="n">
        <v>46270</v>
      </c>
      <c r="AI94" s="1423" t="n">
        <v>46274</v>
      </c>
      <c r="AJ94" s="1423" t="n">
        <v>46281</v>
      </c>
      <c r="AK94" s="1423" t="n">
        <v>46295</v>
      </c>
      <c r="AL94" s="1423" t="str">
        <f>IFERROR(INDEX('برنامه خرد'!$I$2:$I$82,MATCH(Q94,'برنامه خرد'!$A$2:$A$82,0)),"")</f>
      </c>
      <c r="AM94" s="1423" t="n">
        <f>IF(AL94="",AN94,IF(T94="غلط یا کمتر از ۵۰٪",AL94+1,IF(T94="ناقص یا همراه با حدس",AL94+2,IF(T94="درست ولی کند و مردد",AL94+4,IF(T94="درست، سریع و کامل",IF(W94&gt;=2,AL94+IF(R94&lt;14,14,28),AL94+MIN(28,MAX(3,R94*2))),AN94)))))</f>
        <v>46268</v>
      </c>
      <c r="AN94" s="1423" t="n">
        <v>46268</v>
      </c>
      <c r="AO94" s="1423" t="n">
        <v>46317</v>
      </c>
    </row>
    <row r="95" ht="38" customHeight="1">
      <c r="A95" s="280" t="str">
        <v>U094</v>
      </c>
      <c r="B95" s="281" t="str">
        <v>نظریه‌های روان‌درمانی پروچاسکا</v>
      </c>
      <c r="C95" s="281" t="str">
        <v>نظریه‌های روان‌درمانی پروچاسکا</v>
      </c>
      <c r="D95" s="281" t="str">
        <v>8</v>
      </c>
      <c r="E95" s="281" t="str">
        <v>درمان‌های مواجهه‌سازی</v>
      </c>
      <c r="F95" s="281" t="str">
        <v>واحد مطالعه بر اساس بازهٔ صفحه</v>
      </c>
      <c r="G95" s="281" t="str">
        <v>۳۸۰ تا ۳۸۰</v>
      </c>
      <c r="H95" s="681" t="n">
        <v>1</v>
      </c>
      <c r="I95" s="281" t="str">
        <v>۱۴۰۵/۰۶/۱۲</v>
      </c>
      <c r="J95" s="684" t="n">
        <v>3.1</v>
      </c>
      <c r="K95" s="281" t="str">
        <v>۱۴۰۵/۰۶/۱۲</v>
      </c>
      <c r="L95" s="281" t="str">
        <v>۱۴۰۵/۰۶/۱۳</v>
      </c>
      <c r="M95" s="281" t="str">
        <v>۱۴۰۵/۰۶/۱۵</v>
      </c>
      <c r="N95" s="281" t="str">
        <v>۱۴۰۵/۰۶/۱۹</v>
      </c>
      <c r="O95" s="281" t="str">
        <v>۱۴۰۵/۰۶/۲۶</v>
      </c>
      <c r="P95" s="281" t="str">
        <v>۱۴۰۵/۰۷/۰۹</v>
      </c>
      <c r="Q95" s="411"/>
      <c r="R95" s="687" t="n">
        <v>1</v>
      </c>
      <c r="S95" s="687"/>
      <c r="T95" s="412"/>
      <c r="U95" s="412"/>
      <c r="V95" s="412"/>
      <c r="W95" s="687" t="str">
        <v>0</v>
      </c>
      <c r="X95" s="412" t="str">
        <v>خیر</v>
      </c>
      <c r="Y95" s="413" t="str">
        <v>خیر</v>
      </c>
      <c r="Z95" s="430" t="str">
        <f>IF(AM95="","",IF(AM95&gt;AO95,"تثبیت نهایی",IFERROR(INDEX('برنامه خرد'!$A$2:$A$82,MATCH(AM95,'برنامه خرد'!$I$2:$I$82,0)),"تثبیت نهایی")))</f>
        <v>۱۴۰۵/۰۶/۱۳</v>
      </c>
      <c r="AA95" s="431" t="str">
        <v>۱۴۰۵/۰۶/۱۳</v>
      </c>
      <c r="AB95" s="690" t="n">
        <f>IF(AM95="","",AM95-AN95)</f>
        <v>0</v>
      </c>
      <c r="AC95" s="431" t="str">
        <f>IF(AM95="","فاقد داده",IF(AM95&gt;AO95,"انتقال به تثبیت نهایی",IF(AM95&lt;TODAY(),"عقب‌افتاده",IF(AM95=TODAY(),"سررسید امروز","آینده"))))</f>
        <v>آینده</v>
      </c>
      <c r="AD95" s="432" t="str">
        <f>IF(OR(AM95&gt;AO95,Z95="تثبیت نهایی"),"بله","خیر")</f>
        <v>خیر</v>
      </c>
      <c r="AE95" s="436" t="str">
        <v>این فرمول فقط تاریخ پیشنهادی را محاسبه می‌کند و ردیف‌های برنامهٔ روزانه را خودکار جابه‌جا نمی‌کند.</v>
      </c>
      <c r="AF95" s="1423" t="n">
        <v>46268</v>
      </c>
      <c r="AG95" s="1423" t="n">
        <v>46269</v>
      </c>
      <c r="AH95" s="1423" t="n">
        <v>46271</v>
      </c>
      <c r="AI95" s="1423" t="n">
        <v>46275</v>
      </c>
      <c r="AJ95" s="1423" t="n">
        <v>46282</v>
      </c>
      <c r="AK95" s="1423" t="n">
        <v>46296</v>
      </c>
      <c r="AL95" s="1423" t="str">
        <f>IFERROR(INDEX('برنامه خرد'!$I$2:$I$82,MATCH(Q95,'برنامه خرد'!$A$2:$A$82,0)),"")</f>
      </c>
      <c r="AM95" s="1423" t="n">
        <f>IF(AL95="",AN95,IF(T95="غلط یا کمتر از ۵۰٪",AL95+1,IF(T95="ناقص یا همراه با حدس",AL95+2,IF(T95="درست ولی کند و مردد",AL95+4,IF(T95="درست، سریع و کامل",IF(W95&gt;=2,AL95+IF(R95&lt;14,14,28),AL95+MIN(28,MAX(3,R95*2))),AN95)))))</f>
        <v>46269</v>
      </c>
      <c r="AN95" s="1423" t="n">
        <v>46269</v>
      </c>
      <c r="AO95" s="1423" t="n">
        <v>46317</v>
      </c>
    </row>
    <row r="96" ht="38" customHeight="1">
      <c r="A96" s="366" t="str">
        <v>U095</v>
      </c>
      <c r="B96" s="367" t="str">
        <v>نظریه‌های روان‌درمانی پروچاسکا</v>
      </c>
      <c r="C96" s="367" t="str">
        <v>نظریه‌های روان‌درمانی پروچاسکا</v>
      </c>
      <c r="D96" s="367" t="str">
        <v>9</v>
      </c>
      <c r="E96" s="367" t="str">
        <v>درمان‌های رفتاری</v>
      </c>
      <c r="F96" s="367" t="str">
        <v>واحد مطالعه بر اساس بازهٔ صفحه</v>
      </c>
      <c r="G96" s="367" t="str">
        <v>۳۸۱ تا ۳۸۷</v>
      </c>
      <c r="H96" s="680" t="n">
        <v>7</v>
      </c>
      <c r="I96" s="367" t="str">
        <v>۱۴۰۵/۰۶/۱۲</v>
      </c>
      <c r="J96" s="683" t="n">
        <v>21.9</v>
      </c>
      <c r="K96" s="367" t="str">
        <v>۱۴۰۵/۰۶/۱۲</v>
      </c>
      <c r="L96" s="367" t="str">
        <v>۱۴۰۵/۰۶/۱۳</v>
      </c>
      <c r="M96" s="367" t="str">
        <v>۱۴۰۵/۰۶/۱۵</v>
      </c>
      <c r="N96" s="367" t="str">
        <v>۱۴۰۵/۰۶/۱۹</v>
      </c>
      <c r="O96" s="367" t="str">
        <v>۱۴۰۵/۰۶/۲۶</v>
      </c>
      <c r="P96" s="367" t="str">
        <v>۱۴۰۵/۰۷/۰۹</v>
      </c>
      <c r="Q96" s="411"/>
      <c r="R96" s="687" t="n">
        <v>1</v>
      </c>
      <c r="S96" s="687"/>
      <c r="T96" s="412"/>
      <c r="U96" s="412"/>
      <c r="V96" s="412"/>
      <c r="W96" s="687" t="str">
        <v>0</v>
      </c>
      <c r="X96" s="412" t="str">
        <v>خیر</v>
      </c>
      <c r="Y96" s="413" t="str">
        <v>خیر</v>
      </c>
      <c r="Z96" s="430" t="str">
        <f>IF(AM96="","",IF(AM96&gt;AO96,"تثبیت نهایی",IFERROR(INDEX('برنامه خرد'!$A$2:$A$82,MATCH(AM96,'برنامه خرد'!$I$2:$I$82,0)),"تثبیت نهایی")))</f>
        <v>۱۴۰۵/۰۶/۱۳</v>
      </c>
      <c r="AA96" s="431" t="str">
        <v>۱۴۰۵/۰۶/۱۳</v>
      </c>
      <c r="AB96" s="690" t="n">
        <f>IF(AM96="","",AM96-AN96)</f>
        <v>0</v>
      </c>
      <c r="AC96" s="431" t="str">
        <f>IF(AM96="","فاقد داده",IF(AM96&gt;AO96,"انتقال به تثبیت نهایی",IF(AM96&lt;TODAY(),"عقب‌افتاده",IF(AM96=TODAY(),"سررسید امروز","آینده"))))</f>
        <v>آینده</v>
      </c>
      <c r="AD96" s="432" t="str">
        <f>IF(OR(AM96&gt;AO96,Z96="تثبیت نهایی"),"بله","خیر")</f>
        <v>خیر</v>
      </c>
      <c r="AE96" s="436" t="str">
        <v>این فرمول فقط تاریخ پیشنهادی را محاسبه می‌کند و ردیف‌های برنامهٔ روزانه را خودکار جابه‌جا نمی‌کند.</v>
      </c>
      <c r="AF96" s="1423" t="n">
        <v>46268</v>
      </c>
      <c r="AG96" s="1423" t="n">
        <v>46269</v>
      </c>
      <c r="AH96" s="1423" t="n">
        <v>46271</v>
      </c>
      <c r="AI96" s="1423" t="n">
        <v>46275</v>
      </c>
      <c r="AJ96" s="1423" t="n">
        <v>46282</v>
      </c>
      <c r="AK96" s="1423" t="n">
        <v>46296</v>
      </c>
      <c r="AL96" s="1423" t="str">
        <f>IFERROR(INDEX('برنامه خرد'!$I$2:$I$82,MATCH(Q96,'برنامه خرد'!$A$2:$A$82,0)),"")</f>
      </c>
      <c r="AM96" s="1423" t="n">
        <f>IF(AL96="",AN96,IF(T96="غلط یا کمتر از ۵۰٪",AL96+1,IF(T96="ناقص یا همراه با حدس",AL96+2,IF(T96="درست ولی کند و مردد",AL96+4,IF(T96="درست، سریع و کامل",IF(W96&gt;=2,AL96+IF(R96&lt;14,14,28),AL96+MIN(28,MAX(3,R96*2))),AN96)))))</f>
        <v>46269</v>
      </c>
      <c r="AN96" s="1423" t="n">
        <v>46269</v>
      </c>
      <c r="AO96" s="1423" t="n">
        <v>46317</v>
      </c>
    </row>
    <row r="97" ht="38" customHeight="1">
      <c r="A97" s="280" t="str">
        <v>U096</v>
      </c>
      <c r="B97" s="281" t="str">
        <v>نظریه‌های روان‌درمانی پروچاسکا</v>
      </c>
      <c r="C97" s="281" t="str">
        <v>نظریه‌های روان‌درمانی پروچاسکا</v>
      </c>
      <c r="D97" s="281" t="str">
        <v>9</v>
      </c>
      <c r="E97" s="281" t="str">
        <v>درمان‌های رفتاری</v>
      </c>
      <c r="F97" s="281" t="str">
        <v>واحد مطالعه بر اساس بازهٔ صفحه</v>
      </c>
      <c r="G97" s="281" t="str">
        <v>۳۸۸ تا ۴۱۵</v>
      </c>
      <c r="H97" s="681" t="n">
        <v>28</v>
      </c>
      <c r="I97" s="281" t="str">
        <v>۱۴۰۵/۰۶/۱۳</v>
      </c>
      <c r="J97" s="684" t="n">
        <v>87</v>
      </c>
      <c r="K97" s="281" t="str">
        <v>۱۴۰۵/۰۶/۱۳</v>
      </c>
      <c r="L97" s="281" t="str">
        <v>۱۴۰۵/۰۶/۱۴</v>
      </c>
      <c r="M97" s="281" t="str">
        <v>۱۴۰۵/۰۶/۱۶</v>
      </c>
      <c r="N97" s="281" t="str">
        <v>۱۴۰۵/۰۶/۲۰</v>
      </c>
      <c r="O97" s="281" t="str">
        <v>۱۴۰۵/۰۶/۲۷</v>
      </c>
      <c r="P97" s="281" t="str">
        <v>۱۴۰۵/۰۷/۱۰</v>
      </c>
      <c r="Q97" s="411"/>
      <c r="R97" s="687" t="n">
        <v>1</v>
      </c>
      <c r="S97" s="687"/>
      <c r="T97" s="412"/>
      <c r="U97" s="412"/>
      <c r="V97" s="412"/>
      <c r="W97" s="687" t="str">
        <v>0</v>
      </c>
      <c r="X97" s="412" t="str">
        <v>خیر</v>
      </c>
      <c r="Y97" s="413" t="str">
        <v>خیر</v>
      </c>
      <c r="Z97" s="430" t="str">
        <f>IF(AM97="","",IF(AM97&gt;AO97,"تثبیت نهایی",IFERROR(INDEX('برنامه خرد'!$A$2:$A$82,MATCH(AM97,'برنامه خرد'!$I$2:$I$82,0)),"تثبیت نهایی")))</f>
        <v>۱۴۰۵/۰۶/۱۵</v>
      </c>
      <c r="AA97" s="431" t="str">
        <v>۱۴۰۵/۰۶/۱۵</v>
      </c>
      <c r="AB97" s="690" t="n">
        <f>IF(AM97="","",AM97-AN97)</f>
        <v>0</v>
      </c>
      <c r="AC97" s="431" t="str">
        <f>IF(AM97="","فاقد داده",IF(AM97&gt;AO97,"انتقال به تثبیت نهایی",IF(AM97&lt;TODAY(),"عقب‌افتاده",IF(AM97=TODAY(),"سررسید امروز","آینده"))))</f>
        <v>آینده</v>
      </c>
      <c r="AD97" s="432" t="str">
        <f>IF(OR(AM97&gt;AO97,Z97="تثبیت نهایی"),"بله","خیر")</f>
        <v>خیر</v>
      </c>
      <c r="AE97" s="436" t="str">
        <v>این فرمول فقط تاریخ پیشنهادی را محاسبه می‌کند و ردیف‌های برنامهٔ روزانه را خودکار جابه‌جا نمی‌کند.</v>
      </c>
      <c r="AF97" s="1423" t="n">
        <v>46269</v>
      </c>
      <c r="AG97" s="1423" t="n">
        <v>46270</v>
      </c>
      <c r="AH97" s="1423" t="n">
        <v>46272</v>
      </c>
      <c r="AI97" s="1423" t="n">
        <v>46276</v>
      </c>
      <c r="AJ97" s="1423" t="n">
        <v>46283</v>
      </c>
      <c r="AK97" s="1423" t="n">
        <v>46297</v>
      </c>
      <c r="AL97" s="1423" t="str">
        <f>IFERROR(INDEX('برنامه خرد'!$I$2:$I$82,MATCH(Q97,'برنامه خرد'!$A$2:$A$82,0)),"")</f>
      </c>
      <c r="AM97" s="1423" t="n">
        <f>IF(AL97="",AN97,IF(T97="غلط یا کمتر از ۵۰٪",AL97+1,IF(T97="ناقص یا همراه با حدس",AL97+2,IF(T97="درست ولی کند و مردد",AL97+4,IF(T97="درست، سریع و کامل",IF(W97&gt;=2,AL97+IF(R97&lt;14,14,28),AL97+MIN(28,MAX(3,R97*2))),AN97)))))</f>
        <v>46271</v>
      </c>
      <c r="AN97" s="1423" t="n">
        <v>46271</v>
      </c>
      <c r="AO97" s="1423" t="n">
        <v>46317</v>
      </c>
    </row>
    <row r="98" ht="38" customHeight="1">
      <c r="A98" s="366" t="str">
        <v>U097</v>
      </c>
      <c r="B98" s="367" t="str">
        <v>نظریه‌های روان‌درمانی پروچاسکا</v>
      </c>
      <c r="C98" s="367" t="str">
        <v>نظریه‌های روان‌درمانی پروچاسکا</v>
      </c>
      <c r="D98" s="367" t="str">
        <v>9</v>
      </c>
      <c r="E98" s="367" t="str">
        <v>درمان‌های رفتاری</v>
      </c>
      <c r="F98" s="367" t="str">
        <v>واحد مطالعه بر اساس بازهٔ صفحه</v>
      </c>
      <c r="G98" s="367" t="str">
        <v>۴۱۶ تا ۴۴۳</v>
      </c>
      <c r="H98" s="680" t="n">
        <v>28</v>
      </c>
      <c r="I98" s="367" t="str">
        <v>۱۴۰۵/۰۶/۱۵</v>
      </c>
      <c r="J98" s="683" t="n">
        <v>87</v>
      </c>
      <c r="K98" s="367" t="str">
        <v>۱۴۰۵/۰۶/۱۵</v>
      </c>
      <c r="L98" s="367" t="str">
        <v>۱۴۰۵/۰۶/۱۶</v>
      </c>
      <c r="M98" s="367" t="str">
        <v>۱۴۰۵/۰۶/۱۸</v>
      </c>
      <c r="N98" s="367" t="str">
        <v>۱۴۰۵/۰۶/۲۲</v>
      </c>
      <c r="O98" s="367" t="str">
        <v>۱۴۰۵/۰۶/۲۹</v>
      </c>
      <c r="P98" s="367" t="str">
        <v>۱۴۰۵/۰۷/۱۲</v>
      </c>
      <c r="Q98" s="411"/>
      <c r="R98" s="687" t="n">
        <v>1</v>
      </c>
      <c r="S98" s="687"/>
      <c r="T98" s="412"/>
      <c r="U98" s="412"/>
      <c r="V98" s="412"/>
      <c r="W98" s="687" t="str">
        <v>0</v>
      </c>
      <c r="X98" s="412" t="str">
        <v>خیر</v>
      </c>
      <c r="Y98" s="413" t="str">
        <v>خیر</v>
      </c>
      <c r="Z98" s="430" t="str">
        <f>IF(AM98="","",IF(AM98&gt;AO98,"تثبیت نهایی",IFERROR(INDEX('برنامه خرد'!$A$2:$A$82,MATCH(AM98,'برنامه خرد'!$I$2:$I$82,0)),"تثبیت نهایی")))</f>
        <v>۱۴۰۵/۰۶/۱۷</v>
      </c>
      <c r="AA98" s="431" t="str">
        <v>۱۴۰۵/۰۶/۱۷</v>
      </c>
      <c r="AB98" s="690" t="n">
        <f>IF(AM98="","",AM98-AN98)</f>
        <v>0</v>
      </c>
      <c r="AC98" s="431" t="str">
        <f>IF(AM98="","فاقد داده",IF(AM98&gt;AO98,"انتقال به تثبیت نهایی",IF(AM98&lt;TODAY(),"عقب‌افتاده",IF(AM98=TODAY(),"سررسید امروز","آینده"))))</f>
        <v>آینده</v>
      </c>
      <c r="AD98" s="432" t="str">
        <f>IF(OR(AM98&gt;AO98,Z98="تثبیت نهایی"),"بله","خیر")</f>
        <v>خیر</v>
      </c>
      <c r="AE98" s="436" t="str">
        <v>این فرمول فقط تاریخ پیشنهادی را محاسبه می‌کند و ردیف‌های برنامهٔ روزانه را خودکار جابه‌جا نمی‌کند.</v>
      </c>
      <c r="AF98" s="1423" t="n">
        <v>46271</v>
      </c>
      <c r="AG98" s="1423" t="n">
        <v>46272</v>
      </c>
      <c r="AH98" s="1423" t="n">
        <v>46274</v>
      </c>
      <c r="AI98" s="1423" t="n">
        <v>46278</v>
      </c>
      <c r="AJ98" s="1423" t="n">
        <v>46285</v>
      </c>
      <c r="AK98" s="1423" t="n">
        <v>46299</v>
      </c>
      <c r="AL98" s="1423" t="str">
        <f>IFERROR(INDEX('برنامه خرد'!$I$2:$I$82,MATCH(Q98,'برنامه خرد'!$A$2:$A$82,0)),"")</f>
      </c>
      <c r="AM98" s="1423" t="n">
        <f>IF(AL98="",AN98,IF(T98="غلط یا کمتر از ۵۰٪",AL98+1,IF(T98="ناقص یا همراه با حدس",AL98+2,IF(T98="درست ولی کند و مردد",AL98+4,IF(T98="درست، سریع و کامل",IF(W98&gt;=2,AL98+IF(R98&lt;14,14,28),AL98+MIN(28,MAX(3,R98*2))),AN98)))))</f>
        <v>46273</v>
      </c>
      <c r="AN98" s="1423" t="n">
        <v>46273</v>
      </c>
      <c r="AO98" s="1423" t="n">
        <v>46317</v>
      </c>
    </row>
    <row r="99" ht="38" customHeight="1">
      <c r="A99" s="280" t="str">
        <v>U098</v>
      </c>
      <c r="B99" s="281" t="str">
        <v>نظریه‌های روان‌درمانی پروچاسکا</v>
      </c>
      <c r="C99" s="281" t="str">
        <v>نظریه‌های روان‌درمانی پروچاسکا</v>
      </c>
      <c r="D99" s="281" t="str">
        <v>9</v>
      </c>
      <c r="E99" s="281" t="str">
        <v>درمان‌های رفتاری</v>
      </c>
      <c r="F99" s="281" t="str">
        <v>واحد مطالعه بر اساس بازهٔ صفحه</v>
      </c>
      <c r="G99" s="281" t="str">
        <v>۴۴۴ تا ۴۵۱</v>
      </c>
      <c r="H99" s="681" t="n">
        <v>8</v>
      </c>
      <c r="I99" s="281" t="str">
        <v>۱۴۰۵/۰۶/۱۷</v>
      </c>
      <c r="J99" s="684" t="n">
        <v>25</v>
      </c>
      <c r="K99" s="281" t="str">
        <v>۱۴۰۵/۰۶/۱۷</v>
      </c>
      <c r="L99" s="281" t="str">
        <v>۱۴۰۵/۰۶/۱۸</v>
      </c>
      <c r="M99" s="281" t="str">
        <v>۱۴۰۵/۰۶/۲۰</v>
      </c>
      <c r="N99" s="281" t="str">
        <v>۱۴۰۵/۰۶/۲۴</v>
      </c>
      <c r="O99" s="281" t="str">
        <v>۱۴۰۵/۰۶/۳۱</v>
      </c>
      <c r="P99" s="281" t="str">
        <v>۱۴۰۵/۰۷/۱۴</v>
      </c>
      <c r="Q99" s="411"/>
      <c r="R99" s="687" t="n">
        <v>1</v>
      </c>
      <c r="S99" s="687"/>
      <c r="T99" s="412"/>
      <c r="U99" s="412"/>
      <c r="V99" s="412"/>
      <c r="W99" s="687" t="str">
        <v>0</v>
      </c>
      <c r="X99" s="412" t="str">
        <v>خیر</v>
      </c>
      <c r="Y99" s="413" t="str">
        <v>خیر</v>
      </c>
      <c r="Z99" s="430" t="str">
        <f>IF(AM99="","",IF(AM99&gt;AO99,"تثبیت نهایی",IFERROR(INDEX('برنامه خرد'!$A$2:$A$82,MATCH(AM99,'برنامه خرد'!$I$2:$I$82,0)),"تثبیت نهایی")))</f>
        <v>۱۴۰۵/۰۶/۱۸</v>
      </c>
      <c r="AA99" s="431" t="str">
        <v>۱۴۰۵/۰۶/۱۸</v>
      </c>
      <c r="AB99" s="690" t="n">
        <f>IF(AM99="","",AM99-AN99)</f>
        <v>0</v>
      </c>
      <c r="AC99" s="431" t="str">
        <f>IF(AM99="","فاقد داده",IF(AM99&gt;AO99,"انتقال به تثبیت نهایی",IF(AM99&lt;TODAY(),"عقب‌افتاده",IF(AM99=TODAY(),"سررسید امروز","آینده"))))</f>
        <v>آینده</v>
      </c>
      <c r="AD99" s="432" t="str">
        <f>IF(OR(AM99&gt;AO99,Z99="تثبیت نهایی"),"بله","خیر")</f>
        <v>خیر</v>
      </c>
      <c r="AE99" s="436" t="str">
        <v>این فرمول فقط تاریخ پیشنهادی را محاسبه می‌کند و ردیف‌های برنامهٔ روزانه را خودکار جابه‌جا نمی‌کند.</v>
      </c>
      <c r="AF99" s="1423" t="n">
        <v>46273</v>
      </c>
      <c r="AG99" s="1423" t="n">
        <v>46274</v>
      </c>
      <c r="AH99" s="1423" t="n">
        <v>46276</v>
      </c>
      <c r="AI99" s="1423" t="n">
        <v>46280</v>
      </c>
      <c r="AJ99" s="1423" t="n">
        <v>46287</v>
      </c>
      <c r="AK99" s="1423" t="n">
        <v>46301</v>
      </c>
      <c r="AL99" s="1423" t="str">
        <f>IFERROR(INDEX('برنامه خرد'!$I$2:$I$82,MATCH(Q99,'برنامه خرد'!$A$2:$A$82,0)),"")</f>
      </c>
      <c r="AM99" s="1423" t="n">
        <f>IF(AL99="",AN99,IF(T99="غلط یا کمتر از ۵۰٪",AL99+1,IF(T99="ناقص یا همراه با حدس",AL99+2,IF(T99="درست ولی کند و مردد",AL99+4,IF(T99="درست، سریع و کامل",IF(W99&gt;=2,AL99+IF(R99&lt;14,14,28),AL99+MIN(28,MAX(3,R99*2))),AN99)))))</f>
        <v>46274</v>
      </c>
      <c r="AN99" s="1423" t="n">
        <v>46274</v>
      </c>
      <c r="AO99" s="1423" t="n">
        <v>46317</v>
      </c>
    </row>
    <row r="100" ht="38" customHeight="1">
      <c r="A100" s="366" t="str">
        <v>U099</v>
      </c>
      <c r="B100" s="367" t="str">
        <v>نظریه‌های روان‌درمانی پروچاسکا</v>
      </c>
      <c r="C100" s="367" t="str">
        <v>نظریه‌های روان‌درمانی پروچاسکا</v>
      </c>
      <c r="D100" s="367" t="str">
        <v>9</v>
      </c>
      <c r="E100" s="367" t="str">
        <v>درمان‌های رفتاری</v>
      </c>
      <c r="F100" s="367" t="str">
        <v>واحد مطالعه بر اساس بازهٔ صفحه</v>
      </c>
      <c r="G100" s="367" t="str">
        <v>۴۵۲ تا ۴۵۶</v>
      </c>
      <c r="H100" s="680" t="n">
        <v>5</v>
      </c>
      <c r="I100" s="367" t="str">
        <v>۱۴۰۵/۰۶/۱۸</v>
      </c>
      <c r="J100" s="683" t="n">
        <v>15.6</v>
      </c>
      <c r="K100" s="367" t="str">
        <v>۱۴۰۵/۰۶/۱۸</v>
      </c>
      <c r="L100" s="367" t="str">
        <v>۱۴۰۵/۰۶/۱۹</v>
      </c>
      <c r="M100" s="367" t="str">
        <v>۱۴۰۵/۰۶/۲۱</v>
      </c>
      <c r="N100" s="367" t="str">
        <v>۱۴۰۵/۰۶/۲۵</v>
      </c>
      <c r="O100" s="367" t="str">
        <v>۱۴۰۵/۰۷/۰۱</v>
      </c>
      <c r="P100" s="367" t="str">
        <v>۱۴۰۵/۰۷/۱۵</v>
      </c>
      <c r="Q100" s="411"/>
      <c r="R100" s="687" t="n">
        <v>1</v>
      </c>
      <c r="S100" s="687"/>
      <c r="T100" s="412"/>
      <c r="U100" s="412"/>
      <c r="V100" s="412"/>
      <c r="W100" s="687" t="str">
        <v>0</v>
      </c>
      <c r="X100" s="412" t="str">
        <v>خیر</v>
      </c>
      <c r="Y100" s="413" t="str">
        <v>خیر</v>
      </c>
      <c r="Z100" s="430" t="str">
        <f>IF(AM100="","",IF(AM100&gt;AO100,"تثبیت نهایی",IFERROR(INDEX('برنامه خرد'!$A$2:$A$82,MATCH(AM100,'برنامه خرد'!$I$2:$I$82,0)),"تثبیت نهایی")))</f>
        <v>۱۴۰۵/۰۶/۱۹</v>
      </c>
      <c r="AA100" s="431" t="str">
        <v>۱۴۰۵/۰۶/۱۹</v>
      </c>
      <c r="AB100" s="690" t="n">
        <f>IF(AM100="","",AM100-AN100)</f>
        <v>0</v>
      </c>
      <c r="AC100" s="431" t="str">
        <f>IF(AM100="","فاقد داده",IF(AM100&gt;AO100,"انتقال به تثبیت نهایی",IF(AM100&lt;TODAY(),"عقب‌افتاده",IF(AM100=TODAY(),"سررسید امروز","آینده"))))</f>
        <v>آینده</v>
      </c>
      <c r="AD100" s="432" t="str">
        <f>IF(OR(AM100&gt;AO100,Z100="تثبیت نهایی"),"بله","خیر")</f>
        <v>خیر</v>
      </c>
      <c r="AE100" s="436" t="str">
        <v>این فرمول فقط تاریخ پیشنهادی را محاسبه می‌کند و ردیف‌های برنامهٔ روزانه را خودکار جابه‌جا نمی‌کند.</v>
      </c>
      <c r="AF100" s="1423" t="n">
        <v>46274</v>
      </c>
      <c r="AG100" s="1423" t="n">
        <v>46275</v>
      </c>
      <c r="AH100" s="1423" t="n">
        <v>46277</v>
      </c>
      <c r="AI100" s="1423" t="n">
        <v>46281</v>
      </c>
      <c r="AJ100" s="1423" t="n">
        <v>46288</v>
      </c>
      <c r="AK100" s="1423" t="n">
        <v>46302</v>
      </c>
      <c r="AL100" s="1423" t="str">
        <f>IFERROR(INDEX('برنامه خرد'!$I$2:$I$82,MATCH(Q100,'برنامه خرد'!$A$2:$A$82,0)),"")</f>
      </c>
      <c r="AM100" s="1423" t="n">
        <f>IF(AL100="",AN100,IF(T100="غلط یا کمتر از ۵۰٪",AL100+1,IF(T100="ناقص یا همراه با حدس",AL100+2,IF(T100="درست ولی کند و مردد",AL100+4,IF(T100="درست، سریع و کامل",IF(W100&gt;=2,AL100+IF(R100&lt;14,14,28),AL100+MIN(28,MAX(3,R100*2))),AN100)))))</f>
        <v>46275</v>
      </c>
      <c r="AN100" s="1423" t="n">
        <v>46275</v>
      </c>
      <c r="AO100" s="1423" t="n">
        <v>46317</v>
      </c>
    </row>
    <row r="101" ht="38" customHeight="1">
      <c r="A101" s="280" t="str">
        <v>U100</v>
      </c>
      <c r="B101" s="281" t="str">
        <v>نظریه‌های روان‌درمانی پروچاسکا</v>
      </c>
      <c r="C101" s="281" t="str">
        <v>نظریه‌های روان‌درمانی پروچاسکا</v>
      </c>
      <c r="D101" s="281" t="str">
        <v>10</v>
      </c>
      <c r="E101" s="281" t="str">
        <v>درمان‌های شناختی</v>
      </c>
      <c r="F101" s="281" t="str">
        <v>واحد مطالعه بر اساس بازهٔ صفحه</v>
      </c>
      <c r="G101" s="281" t="str">
        <v>۴۵۷ تا ۴۵۹</v>
      </c>
      <c r="H101" s="681" t="n">
        <v>3</v>
      </c>
      <c r="I101" s="281" t="str">
        <v>۱۴۰۵/۰۶/۱۸</v>
      </c>
      <c r="J101" s="684" t="n">
        <v>9.4</v>
      </c>
      <c r="K101" s="281" t="str">
        <v>۱۴۰۵/۰۶/۱۸</v>
      </c>
      <c r="L101" s="281" t="str">
        <v>۱۴۰۵/۰۶/۱۹</v>
      </c>
      <c r="M101" s="281" t="str">
        <v>۱۴۰۵/۰۶/۲۱</v>
      </c>
      <c r="N101" s="281" t="str">
        <v>۱۴۰۵/۰۶/۲۵</v>
      </c>
      <c r="O101" s="281" t="str">
        <v>۱۴۰۵/۰۷/۰۱</v>
      </c>
      <c r="P101" s="281" t="str">
        <v>۱۴۰۵/۰۷/۱۵</v>
      </c>
      <c r="Q101" s="411"/>
      <c r="R101" s="687" t="n">
        <v>1</v>
      </c>
      <c r="S101" s="687"/>
      <c r="T101" s="412"/>
      <c r="U101" s="412"/>
      <c r="V101" s="412"/>
      <c r="W101" s="687" t="str">
        <v>0</v>
      </c>
      <c r="X101" s="412" t="str">
        <v>خیر</v>
      </c>
      <c r="Y101" s="413" t="str">
        <v>خیر</v>
      </c>
      <c r="Z101" s="430" t="str">
        <f>IF(AM101="","",IF(AM101&gt;AO101,"تثبیت نهایی",IFERROR(INDEX('برنامه خرد'!$A$2:$A$82,MATCH(AM101,'برنامه خرد'!$I$2:$I$82,0)),"تثبیت نهایی")))</f>
        <v>۱۴۰۵/۰۶/۱۹</v>
      </c>
      <c r="AA101" s="431" t="str">
        <v>۱۴۰۵/۰۶/۱۹</v>
      </c>
      <c r="AB101" s="690" t="n">
        <f>IF(AM101="","",AM101-AN101)</f>
        <v>0</v>
      </c>
      <c r="AC101" s="431" t="str">
        <f>IF(AM101="","فاقد داده",IF(AM101&gt;AO101,"انتقال به تثبیت نهایی",IF(AM101&lt;TODAY(),"عقب‌افتاده",IF(AM101=TODAY(),"سررسید امروز","آینده"))))</f>
        <v>آینده</v>
      </c>
      <c r="AD101" s="432" t="str">
        <f>IF(OR(AM101&gt;AO101,Z101="تثبیت نهایی"),"بله","خیر")</f>
        <v>خیر</v>
      </c>
      <c r="AE101" s="436" t="str">
        <v>این فرمول فقط تاریخ پیشنهادی را محاسبه می‌کند و ردیف‌های برنامهٔ روزانه را خودکار جابه‌جا نمی‌کند.</v>
      </c>
      <c r="AF101" s="1423" t="n">
        <v>46274</v>
      </c>
      <c r="AG101" s="1423" t="n">
        <v>46275</v>
      </c>
      <c r="AH101" s="1423" t="n">
        <v>46277</v>
      </c>
      <c r="AI101" s="1423" t="n">
        <v>46281</v>
      </c>
      <c r="AJ101" s="1423" t="n">
        <v>46288</v>
      </c>
      <c r="AK101" s="1423" t="n">
        <v>46302</v>
      </c>
      <c r="AL101" s="1423" t="str">
        <f>IFERROR(INDEX('برنامه خرد'!$I$2:$I$82,MATCH(Q101,'برنامه خرد'!$A$2:$A$82,0)),"")</f>
      </c>
      <c r="AM101" s="1423" t="n">
        <f>IF(AL101="",AN101,IF(T101="غلط یا کمتر از ۵۰٪",AL101+1,IF(T101="ناقص یا همراه با حدس",AL101+2,IF(T101="درست ولی کند و مردد",AL101+4,IF(T101="درست، سریع و کامل",IF(W101&gt;=2,AL101+IF(R101&lt;14,14,28),AL101+MIN(28,MAX(3,R101*2))),AN101)))))</f>
        <v>46275</v>
      </c>
      <c r="AN101" s="1423" t="n">
        <v>46275</v>
      </c>
      <c r="AO101" s="1423" t="n">
        <v>46317</v>
      </c>
    </row>
    <row r="102" ht="38" customHeight="1">
      <c r="A102" s="366" t="str">
        <v>U101</v>
      </c>
      <c r="B102" s="367" t="str">
        <v>نظریه‌های روان‌درمانی پروچاسکا</v>
      </c>
      <c r="C102" s="367" t="str">
        <v>نظریه‌های روان‌درمانی پروچاسکا</v>
      </c>
      <c r="D102" s="367" t="str">
        <v>10</v>
      </c>
      <c r="E102" s="367" t="str">
        <v>درمان‌های شناختی</v>
      </c>
      <c r="F102" s="367" t="str">
        <v>واحد مطالعه بر اساس بازهٔ صفحه</v>
      </c>
      <c r="G102" s="367" t="str">
        <v>۴۶۰ تا ۴۶۷</v>
      </c>
      <c r="H102" s="680" t="n">
        <v>8</v>
      </c>
      <c r="I102" s="367" t="str">
        <v>۱۴۰۵/۰۶/۱۹</v>
      </c>
      <c r="J102" s="683" t="n">
        <v>25</v>
      </c>
      <c r="K102" s="367" t="str">
        <v>۱۴۰۵/۰۶/۱۹</v>
      </c>
      <c r="L102" s="367" t="str">
        <v>۱۴۰۵/۰۶/۲۰</v>
      </c>
      <c r="M102" s="367" t="str">
        <v>۱۴۰۵/۰۶/۲۲</v>
      </c>
      <c r="N102" s="367" t="str">
        <v>۱۴۰۵/۰۶/۲۶</v>
      </c>
      <c r="O102" s="367" t="str">
        <v>۱۴۰۵/۰۷/۰۲</v>
      </c>
      <c r="P102" s="367" t="str">
        <v>۱۴۰۵/۰۷/۱۶</v>
      </c>
      <c r="Q102" s="411"/>
      <c r="R102" s="687" t="n">
        <v>1</v>
      </c>
      <c r="S102" s="687"/>
      <c r="T102" s="412"/>
      <c r="U102" s="412"/>
      <c r="V102" s="412"/>
      <c r="W102" s="687" t="str">
        <v>0</v>
      </c>
      <c r="X102" s="412" t="str">
        <v>خیر</v>
      </c>
      <c r="Y102" s="413" t="str">
        <v>خیر</v>
      </c>
      <c r="Z102" s="430" t="str">
        <f>IF(AM102="","",IF(AM102&gt;AO102,"تثبیت نهایی",IFERROR(INDEX('برنامه خرد'!$A$2:$A$82,MATCH(AM102,'برنامه خرد'!$I$2:$I$82,0)),"تثبیت نهایی")))</f>
        <v>۱۴۰۵/۰۶/۲۰</v>
      </c>
      <c r="AA102" s="431" t="str">
        <v>۱۴۰۵/۰۶/۲۰</v>
      </c>
      <c r="AB102" s="690" t="n">
        <f>IF(AM102="","",AM102-AN102)</f>
        <v>0</v>
      </c>
      <c r="AC102" s="431" t="str">
        <f>IF(AM102="","فاقد داده",IF(AM102&gt;AO102,"انتقال به تثبیت نهایی",IF(AM102&lt;TODAY(),"عقب‌افتاده",IF(AM102=TODAY(),"سررسید امروز","آینده"))))</f>
        <v>آینده</v>
      </c>
      <c r="AD102" s="432" t="str">
        <f>IF(OR(AM102&gt;AO102,Z102="تثبیت نهایی"),"بله","خیر")</f>
        <v>خیر</v>
      </c>
      <c r="AE102" s="436" t="str">
        <v>این فرمول فقط تاریخ پیشنهادی را محاسبه می‌کند و ردیف‌های برنامهٔ روزانه را خودکار جابه‌جا نمی‌کند.</v>
      </c>
      <c r="AF102" s="1423" t="n">
        <v>46275</v>
      </c>
      <c r="AG102" s="1423" t="n">
        <v>46276</v>
      </c>
      <c r="AH102" s="1423" t="n">
        <v>46278</v>
      </c>
      <c r="AI102" s="1423" t="n">
        <v>46282</v>
      </c>
      <c r="AJ102" s="1423" t="n">
        <v>46289</v>
      </c>
      <c r="AK102" s="1423" t="n">
        <v>46303</v>
      </c>
      <c r="AL102" s="1423" t="str">
        <f>IFERROR(INDEX('برنامه خرد'!$I$2:$I$82,MATCH(Q102,'برنامه خرد'!$A$2:$A$82,0)),"")</f>
      </c>
      <c r="AM102" s="1423" t="n">
        <f>IF(AL102="",AN102,IF(T102="غلط یا کمتر از ۵۰٪",AL102+1,IF(T102="ناقص یا همراه با حدس",AL102+2,IF(T102="درست ولی کند و مردد",AL102+4,IF(T102="درست، سریع و کامل",IF(W102&gt;=2,AL102+IF(R102&lt;14,14,28),AL102+MIN(28,MAX(3,R102*2))),AN102)))))</f>
        <v>46276</v>
      </c>
      <c r="AN102" s="1423" t="n">
        <v>46276</v>
      </c>
      <c r="AO102" s="1423" t="n">
        <v>46317</v>
      </c>
    </row>
    <row r="103" ht="38" customHeight="1">
      <c r="A103" s="280" t="str">
        <v>U102</v>
      </c>
      <c r="B103" s="281" t="str">
        <v>نظریه‌های روان‌درمانی پروچاسکا</v>
      </c>
      <c r="C103" s="281" t="str">
        <v>نظریه‌های روان‌درمانی پروچاسکا</v>
      </c>
      <c r="D103" s="281" t="str">
        <v>10</v>
      </c>
      <c r="E103" s="281" t="str">
        <v>درمان‌های شناختی</v>
      </c>
      <c r="F103" s="281" t="str">
        <v>واحد مطالعه بر اساس بازهٔ صفحه</v>
      </c>
      <c r="G103" s="281" t="str">
        <v>۴۶۸ تا ۴۹۵</v>
      </c>
      <c r="H103" s="681" t="n">
        <v>28</v>
      </c>
      <c r="I103" s="281" t="str">
        <v>۱۴۰۵/۰۶/۲۰</v>
      </c>
      <c r="J103" s="684" t="n">
        <v>87</v>
      </c>
      <c r="K103" s="281" t="str">
        <v>۱۴۰۵/۰۶/۲۰</v>
      </c>
      <c r="L103" s="281" t="str">
        <v>۱۴۰۵/۰۶/۲۱</v>
      </c>
      <c r="M103" s="281" t="str">
        <v>۱۴۰۵/۰۶/۲۳</v>
      </c>
      <c r="N103" s="281" t="str">
        <v>۱۴۰۵/۰۶/۲۷</v>
      </c>
      <c r="O103" s="281" t="str">
        <v>۱۴۰۵/۰۷/۰۳</v>
      </c>
      <c r="P103" s="281" t="str">
        <v>۱۴۰۵/۰۷/۱۷</v>
      </c>
      <c r="Q103" s="411"/>
      <c r="R103" s="687" t="n">
        <v>1</v>
      </c>
      <c r="S103" s="687"/>
      <c r="T103" s="412"/>
      <c r="U103" s="412"/>
      <c r="V103" s="412"/>
      <c r="W103" s="687" t="str">
        <v>0</v>
      </c>
      <c r="X103" s="412" t="str">
        <v>خیر</v>
      </c>
      <c r="Y103" s="413" t="str">
        <v>خیر</v>
      </c>
      <c r="Z103" s="430" t="str">
        <f>IF(AM103="","",IF(AM103&gt;AO103,"تثبیت نهایی",IFERROR(INDEX('برنامه خرد'!$A$2:$A$82,MATCH(AM103,'برنامه خرد'!$I$2:$I$82,0)),"تثبیت نهایی")))</f>
        <v>۱۴۰۵/۰۶/۲۲</v>
      </c>
      <c r="AA103" s="431" t="str">
        <v>۱۴۰۵/۰۶/۲۲</v>
      </c>
      <c r="AB103" s="690" t="n">
        <f>IF(AM103="","",AM103-AN103)</f>
        <v>0</v>
      </c>
      <c r="AC103" s="431" t="str">
        <f>IF(AM103="","فاقد داده",IF(AM103&gt;AO103,"انتقال به تثبیت نهایی",IF(AM103&lt;TODAY(),"عقب‌افتاده",IF(AM103=TODAY(),"سررسید امروز","آینده"))))</f>
        <v>آینده</v>
      </c>
      <c r="AD103" s="432" t="str">
        <f>IF(OR(AM103&gt;AO103,Z103="تثبیت نهایی"),"بله","خیر")</f>
        <v>خیر</v>
      </c>
      <c r="AE103" s="436" t="str">
        <v>این فرمول فقط تاریخ پیشنهادی را محاسبه می‌کند و ردیف‌های برنامهٔ روزانه را خودکار جابه‌جا نمی‌کند.</v>
      </c>
      <c r="AF103" s="1423" t="n">
        <v>46276</v>
      </c>
      <c r="AG103" s="1423" t="n">
        <v>46277</v>
      </c>
      <c r="AH103" s="1423" t="n">
        <v>46279</v>
      </c>
      <c r="AI103" s="1423" t="n">
        <v>46283</v>
      </c>
      <c r="AJ103" s="1423" t="n">
        <v>46290</v>
      </c>
      <c r="AK103" s="1423" t="n">
        <v>46304</v>
      </c>
      <c r="AL103" s="1423" t="str">
        <f>IFERROR(INDEX('برنامه خرد'!$I$2:$I$82,MATCH(Q103,'برنامه خرد'!$A$2:$A$82,0)),"")</f>
      </c>
      <c r="AM103" s="1423" t="n">
        <f>IF(AL103="",AN103,IF(T103="غلط یا کمتر از ۵۰٪",AL103+1,IF(T103="ناقص یا همراه با حدس",AL103+2,IF(T103="درست ولی کند و مردد",AL103+4,IF(T103="درست، سریع و کامل",IF(W103&gt;=2,AL103+IF(R103&lt;14,14,28),AL103+MIN(28,MAX(3,R103*2))),AN103)))))</f>
        <v>46278</v>
      </c>
      <c r="AN103" s="1423" t="n">
        <v>46278</v>
      </c>
      <c r="AO103" s="1423" t="n">
        <v>46317</v>
      </c>
    </row>
    <row r="104" ht="38" customHeight="1">
      <c r="A104" s="366" t="str">
        <v>U103</v>
      </c>
      <c r="B104" s="367" t="str">
        <v>نظریه‌های روان‌درمانی پروچاسکا</v>
      </c>
      <c r="C104" s="367" t="str">
        <v>نظریه‌های روان‌درمانی پروچاسکا</v>
      </c>
      <c r="D104" s="367" t="str">
        <v>10</v>
      </c>
      <c r="E104" s="367" t="str">
        <v>درمان‌های شناختی</v>
      </c>
      <c r="F104" s="367" t="str">
        <v>واحد مطالعه بر اساس بازهٔ صفحه</v>
      </c>
      <c r="G104" s="367" t="str">
        <v>۴۹۶ تا ۵۲۲</v>
      </c>
      <c r="H104" s="680" t="n">
        <v>27</v>
      </c>
      <c r="I104" s="367" t="str">
        <v>۱۴۰۵/۰۶/۲۲</v>
      </c>
      <c r="J104" s="683" t="n">
        <v>83.9</v>
      </c>
      <c r="K104" s="367" t="str">
        <v>۱۴۰۵/۰۶/۲۲</v>
      </c>
      <c r="L104" s="367" t="str">
        <v>۱۴۰۵/۰۶/۲۳</v>
      </c>
      <c r="M104" s="367" t="str">
        <v>۱۴۰۵/۰۶/۲۵</v>
      </c>
      <c r="N104" s="367" t="str">
        <v>۱۴۰۵/۰۶/۲۹</v>
      </c>
      <c r="O104" s="367" t="str">
        <v>۱۴۰۵/۰۷/۰۵</v>
      </c>
      <c r="P104" s="367" t="str">
        <v>۱۴۰۵/۰۷/۱۹</v>
      </c>
      <c r="Q104" s="411"/>
      <c r="R104" s="687" t="n">
        <v>1</v>
      </c>
      <c r="S104" s="687"/>
      <c r="T104" s="412"/>
      <c r="U104" s="412"/>
      <c r="V104" s="412"/>
      <c r="W104" s="687" t="str">
        <v>0</v>
      </c>
      <c r="X104" s="412" t="str">
        <v>خیر</v>
      </c>
      <c r="Y104" s="413" t="str">
        <v>خیر</v>
      </c>
      <c r="Z104" s="430" t="str">
        <f>IF(AM104="","",IF(AM104&gt;AO104,"تثبیت نهایی",IFERROR(INDEX('برنامه خرد'!$A$2:$A$82,MATCH(AM104,'برنامه خرد'!$I$2:$I$82,0)),"تثبیت نهایی")))</f>
        <v>۱۴۰۵/۰۶/۲۴</v>
      </c>
      <c r="AA104" s="431" t="str">
        <v>۱۴۰۵/۰۶/۲۴</v>
      </c>
      <c r="AB104" s="690" t="n">
        <f>IF(AM104="","",AM104-AN104)</f>
        <v>0</v>
      </c>
      <c r="AC104" s="431" t="str">
        <f>IF(AM104="","فاقد داده",IF(AM104&gt;AO104,"انتقال به تثبیت نهایی",IF(AM104&lt;TODAY(),"عقب‌افتاده",IF(AM104=TODAY(),"سررسید امروز","آینده"))))</f>
        <v>آینده</v>
      </c>
      <c r="AD104" s="432" t="str">
        <f>IF(OR(AM104&gt;AO104,Z104="تثبیت نهایی"),"بله","خیر")</f>
        <v>خیر</v>
      </c>
      <c r="AE104" s="436" t="str">
        <v>این فرمول فقط تاریخ پیشنهادی را محاسبه می‌کند و ردیف‌های برنامهٔ روزانه را خودکار جابه‌جا نمی‌کند.</v>
      </c>
      <c r="AF104" s="1423" t="n">
        <v>46278</v>
      </c>
      <c r="AG104" s="1423" t="n">
        <v>46279</v>
      </c>
      <c r="AH104" s="1423" t="n">
        <v>46281</v>
      </c>
      <c r="AI104" s="1423" t="n">
        <v>46285</v>
      </c>
      <c r="AJ104" s="1423" t="n">
        <v>46292</v>
      </c>
      <c r="AK104" s="1423" t="n">
        <v>46306</v>
      </c>
      <c r="AL104" s="1423" t="str">
        <f>IFERROR(INDEX('برنامه خرد'!$I$2:$I$82,MATCH(Q104,'برنامه خرد'!$A$2:$A$82,0)),"")</f>
      </c>
      <c r="AM104" s="1423" t="n">
        <f>IF(AL104="",AN104,IF(T104="غلط یا کمتر از ۵۰٪",AL104+1,IF(T104="ناقص یا همراه با حدس",AL104+2,IF(T104="درست ولی کند و مردد",AL104+4,IF(T104="درست، سریع و کامل",IF(W104&gt;=2,AL104+IF(R104&lt;14,14,28),AL104+MIN(28,MAX(3,R104*2))),AN104)))))</f>
        <v>46280</v>
      </c>
      <c r="AN104" s="1423" t="n">
        <v>46280</v>
      </c>
      <c r="AO104" s="1423" t="n">
        <v>46317</v>
      </c>
    </row>
    <row r="105" ht="38" customHeight="1">
      <c r="A105" s="280" t="str">
        <v>U104</v>
      </c>
      <c r="B105" s="281" t="str">
        <v>نظریه‌های روان‌درمانی پروچاسکا</v>
      </c>
      <c r="C105" s="281" t="str">
        <v>نظریه‌های روان‌درمانی پروچاسکا</v>
      </c>
      <c r="D105" s="281" t="str">
        <v>11</v>
      </c>
      <c r="E105" s="281" t="str">
        <v>درمان‌های موج سوم</v>
      </c>
      <c r="F105" s="281" t="str">
        <v>واحد مطالعه بر اساس بازهٔ صفحه</v>
      </c>
      <c r="G105" s="281" t="str">
        <v>۵۲۳ تا ۵۲۳</v>
      </c>
      <c r="H105" s="681" t="n">
        <v>1</v>
      </c>
      <c r="I105" s="281" t="str">
        <v>۱۴۰۵/۰۶/۲۲</v>
      </c>
      <c r="J105" s="684" t="n">
        <v>3.1</v>
      </c>
      <c r="K105" s="281" t="str">
        <v>۱۴۰۵/۰۶/۲۲</v>
      </c>
      <c r="L105" s="281" t="str">
        <v>۱۴۰۵/۰۶/۲۳</v>
      </c>
      <c r="M105" s="281" t="str">
        <v>۱۴۰۵/۰۶/۲۵</v>
      </c>
      <c r="N105" s="281" t="str">
        <v>۱۴۰۵/۰۶/۲۹</v>
      </c>
      <c r="O105" s="281" t="str">
        <v>۱۴۰۵/۰۷/۰۵</v>
      </c>
      <c r="P105" s="281" t="str">
        <v>۱۴۰۵/۰۷/۱۹</v>
      </c>
      <c r="Q105" s="411"/>
      <c r="R105" s="687" t="n">
        <v>1</v>
      </c>
      <c r="S105" s="687"/>
      <c r="T105" s="412"/>
      <c r="U105" s="412"/>
      <c r="V105" s="412"/>
      <c r="W105" s="687" t="str">
        <v>0</v>
      </c>
      <c r="X105" s="412" t="str">
        <v>خیر</v>
      </c>
      <c r="Y105" s="413" t="str">
        <v>خیر</v>
      </c>
      <c r="Z105" s="430" t="str">
        <f>IF(AM105="","",IF(AM105&gt;AO105,"تثبیت نهایی",IFERROR(INDEX('برنامه خرد'!$A$2:$A$82,MATCH(AM105,'برنامه خرد'!$I$2:$I$82,0)),"تثبیت نهایی")))</f>
        <v>۱۴۰۵/۰۶/۲۴</v>
      </c>
      <c r="AA105" s="431" t="str">
        <v>۱۴۰۵/۰۶/۲۴</v>
      </c>
      <c r="AB105" s="690" t="n">
        <f>IF(AM105="","",AM105-AN105)</f>
        <v>0</v>
      </c>
      <c r="AC105" s="431" t="str">
        <f>IF(AM105="","فاقد داده",IF(AM105&gt;AO105,"انتقال به تثبیت نهایی",IF(AM105&lt;TODAY(),"عقب‌افتاده",IF(AM105=TODAY(),"سررسید امروز","آینده"))))</f>
        <v>آینده</v>
      </c>
      <c r="AD105" s="432" t="str">
        <f>IF(OR(AM105&gt;AO105,Z105="تثبیت نهایی"),"بله","خیر")</f>
        <v>خیر</v>
      </c>
      <c r="AE105" s="436" t="str">
        <v>این فرمول فقط تاریخ پیشنهادی را محاسبه می‌کند و ردیف‌های برنامهٔ روزانه را خودکار جابه‌جا نمی‌کند.</v>
      </c>
      <c r="AF105" s="1423" t="n">
        <v>46278</v>
      </c>
      <c r="AG105" s="1423" t="n">
        <v>46279</v>
      </c>
      <c r="AH105" s="1423" t="n">
        <v>46281</v>
      </c>
      <c r="AI105" s="1423" t="n">
        <v>46285</v>
      </c>
      <c r="AJ105" s="1423" t="n">
        <v>46292</v>
      </c>
      <c r="AK105" s="1423" t="n">
        <v>46306</v>
      </c>
      <c r="AL105" s="1423" t="str">
        <f>IFERROR(INDEX('برنامه خرد'!$I$2:$I$82,MATCH(Q105,'برنامه خرد'!$A$2:$A$82,0)),"")</f>
      </c>
      <c r="AM105" s="1423" t="n">
        <f>IF(AL105="",AN105,IF(T105="غلط یا کمتر از ۵۰٪",AL105+1,IF(T105="ناقص یا همراه با حدس",AL105+2,IF(T105="درست ولی کند و مردد",AL105+4,IF(T105="درست، سریع و کامل",IF(W105&gt;=2,AL105+IF(R105&lt;14,14,28),AL105+MIN(28,MAX(3,R105*2))),AN105)))))</f>
        <v>46280</v>
      </c>
      <c r="AN105" s="1423" t="n">
        <v>46280</v>
      </c>
      <c r="AO105" s="1423" t="n">
        <v>46317</v>
      </c>
    </row>
    <row r="106" ht="38" customHeight="1">
      <c r="A106" s="366" t="str">
        <v>U105</v>
      </c>
      <c r="B106" s="367" t="str">
        <v>نظریه‌های روان‌درمانی پروچاسکا</v>
      </c>
      <c r="C106" s="367" t="str">
        <v>نظریه‌های روان‌درمانی پروچاسکا</v>
      </c>
      <c r="D106" s="367" t="str">
        <v>11</v>
      </c>
      <c r="E106" s="367" t="str">
        <v>درمان‌های موج سوم</v>
      </c>
      <c r="F106" s="367" t="str">
        <v>واحد مطالعه بر اساس بازهٔ صفحه</v>
      </c>
      <c r="G106" s="367" t="str">
        <v>۵۲۴ تا ۵۳۱</v>
      </c>
      <c r="H106" s="680" t="n">
        <v>8</v>
      </c>
      <c r="I106" s="367" t="str">
        <v>۱۴۰۵/۰۶/۲۴</v>
      </c>
      <c r="J106" s="683" t="n">
        <v>25</v>
      </c>
      <c r="K106" s="367" t="str">
        <v>۱۴۰۵/۰۶/۲۴</v>
      </c>
      <c r="L106" s="367" t="str">
        <v>۱۴۰۵/۰۶/۲۵</v>
      </c>
      <c r="M106" s="367" t="str">
        <v>۱۴۰۵/۰۶/۲۷</v>
      </c>
      <c r="N106" s="367" t="str">
        <v>۱۴۰۵/۰۶/۳۱</v>
      </c>
      <c r="O106" s="367" t="str">
        <v>۱۴۰۵/۰۷/۰۷</v>
      </c>
      <c r="P106" s="367" t="str">
        <v>۱۴۰۵/۰۷/۲۱</v>
      </c>
      <c r="Q106" s="411"/>
      <c r="R106" s="687" t="n">
        <v>1</v>
      </c>
      <c r="S106" s="687"/>
      <c r="T106" s="412"/>
      <c r="U106" s="412"/>
      <c r="V106" s="412"/>
      <c r="W106" s="687" t="str">
        <v>0</v>
      </c>
      <c r="X106" s="412" t="str">
        <v>خیر</v>
      </c>
      <c r="Y106" s="413" t="str">
        <v>خیر</v>
      </c>
      <c r="Z106" s="430" t="str">
        <f>IF(AM106="","",IF(AM106&gt;AO106,"تثبیت نهایی",IFERROR(INDEX('برنامه خرد'!$A$2:$A$82,MATCH(AM106,'برنامه خرد'!$I$2:$I$82,0)),"تثبیت نهایی")))</f>
        <v>۱۴۰۵/۰۶/۲۵</v>
      </c>
      <c r="AA106" s="431" t="str">
        <v>۱۴۰۵/۰۶/۲۵</v>
      </c>
      <c r="AB106" s="690" t="n">
        <f>IF(AM106="","",AM106-AN106)</f>
        <v>0</v>
      </c>
      <c r="AC106" s="431" t="str">
        <f>IF(AM106="","فاقد داده",IF(AM106&gt;AO106,"انتقال به تثبیت نهایی",IF(AM106&lt;TODAY(),"عقب‌افتاده",IF(AM106=TODAY(),"سررسید امروز","آینده"))))</f>
        <v>آینده</v>
      </c>
      <c r="AD106" s="432" t="str">
        <f>IF(OR(AM106&gt;AO106,Z106="تثبیت نهایی"),"بله","خیر")</f>
        <v>خیر</v>
      </c>
      <c r="AE106" s="436" t="str">
        <v>این فرمول فقط تاریخ پیشنهادی را محاسبه می‌کند و ردیف‌های برنامهٔ روزانه را خودکار جابه‌جا نمی‌کند.</v>
      </c>
      <c r="AF106" s="1423" t="n">
        <v>46280</v>
      </c>
      <c r="AG106" s="1423" t="n">
        <v>46281</v>
      </c>
      <c r="AH106" s="1423" t="n">
        <v>46283</v>
      </c>
      <c r="AI106" s="1423" t="n">
        <v>46287</v>
      </c>
      <c r="AJ106" s="1423" t="n">
        <v>46294</v>
      </c>
      <c r="AK106" s="1423" t="n">
        <v>46308</v>
      </c>
      <c r="AL106" s="1423" t="str">
        <f>IFERROR(INDEX('برنامه خرد'!$I$2:$I$82,MATCH(Q106,'برنامه خرد'!$A$2:$A$82,0)),"")</f>
      </c>
      <c r="AM106" s="1423" t="n">
        <f>IF(AL106="",AN106,IF(T106="غلط یا کمتر از ۵۰٪",AL106+1,IF(T106="ناقص یا همراه با حدس",AL106+2,IF(T106="درست ولی کند و مردد",AL106+4,IF(T106="درست، سریع و کامل",IF(W106&gt;=2,AL106+IF(R106&lt;14,14,28),AL106+MIN(28,MAX(3,R106*2))),AN106)))))</f>
        <v>46281</v>
      </c>
      <c r="AN106" s="1423" t="n">
        <v>46281</v>
      </c>
      <c r="AO106" s="1423" t="n">
        <v>46317</v>
      </c>
    </row>
    <row r="107" ht="38" customHeight="1">
      <c r="A107" s="280" t="str">
        <v>U106</v>
      </c>
      <c r="B107" s="281" t="str">
        <v>نظریه‌های روان‌درمانی پروچاسکا</v>
      </c>
      <c r="C107" s="281" t="str">
        <v>نظریه‌های روان‌درمانی پروچاسکا</v>
      </c>
      <c r="D107" s="281" t="str">
        <v>11</v>
      </c>
      <c r="E107" s="281" t="str">
        <v>درمان‌های موج سوم</v>
      </c>
      <c r="F107" s="281" t="str">
        <v>واحد مطالعه بر اساس بازهٔ صفحه</v>
      </c>
      <c r="G107" s="281" t="str">
        <v>۵۳۲ تا ۵۳۹</v>
      </c>
      <c r="H107" s="681" t="n">
        <v>8</v>
      </c>
      <c r="I107" s="281" t="str">
        <v>۱۴۰۵/۰۶/۲۵</v>
      </c>
      <c r="J107" s="684" t="n">
        <v>25</v>
      </c>
      <c r="K107" s="281" t="str">
        <v>۱۴۰۵/۰۶/۲۵</v>
      </c>
      <c r="L107" s="281" t="str">
        <v>۱۴۰۵/۰۶/۲۶</v>
      </c>
      <c r="M107" s="281" t="str">
        <v>۱۴۰۵/۰۶/۲۸</v>
      </c>
      <c r="N107" s="281" t="str">
        <v>۱۴۰۵/۰۷/۰۱</v>
      </c>
      <c r="O107" s="281" t="str">
        <v>۱۴۰۵/۰۷/۰۸</v>
      </c>
      <c r="P107" s="281" t="str">
        <v>۱۴۰۵/۰۷/۲۲</v>
      </c>
      <c r="Q107" s="411"/>
      <c r="R107" s="687" t="n">
        <v>1</v>
      </c>
      <c r="S107" s="687"/>
      <c r="T107" s="412"/>
      <c r="U107" s="412"/>
      <c r="V107" s="412"/>
      <c r="W107" s="687" t="str">
        <v>0</v>
      </c>
      <c r="X107" s="412" t="str">
        <v>خیر</v>
      </c>
      <c r="Y107" s="413" t="str">
        <v>خیر</v>
      </c>
      <c r="Z107" s="430" t="str">
        <f>IF(AM107="","",IF(AM107&gt;AO107,"تثبیت نهایی",IFERROR(INDEX('برنامه خرد'!$A$2:$A$82,MATCH(AM107,'برنامه خرد'!$I$2:$I$82,0)),"تثبیت نهایی")))</f>
        <v>۱۴۰۵/۰۶/۲۶</v>
      </c>
      <c r="AA107" s="431" t="str">
        <v>۱۴۰۵/۰۶/۲۶</v>
      </c>
      <c r="AB107" s="690" t="n">
        <f>IF(AM107="","",AM107-AN107)</f>
        <v>0</v>
      </c>
      <c r="AC107" s="431" t="str">
        <f>IF(AM107="","فاقد داده",IF(AM107&gt;AO107,"انتقال به تثبیت نهایی",IF(AM107&lt;TODAY(),"عقب‌افتاده",IF(AM107=TODAY(),"سررسید امروز","آینده"))))</f>
        <v>آینده</v>
      </c>
      <c r="AD107" s="432" t="str">
        <f>IF(OR(AM107&gt;AO107,Z107="تثبیت نهایی"),"بله","خیر")</f>
        <v>خیر</v>
      </c>
      <c r="AE107" s="436" t="str">
        <v>این فرمول فقط تاریخ پیشنهادی را محاسبه می‌کند و ردیف‌های برنامهٔ روزانه را خودکار جابه‌جا نمی‌کند.</v>
      </c>
      <c r="AF107" s="1423" t="n">
        <v>46281</v>
      </c>
      <c r="AG107" s="1423" t="n">
        <v>46282</v>
      </c>
      <c r="AH107" s="1423" t="n">
        <v>46284</v>
      </c>
      <c r="AI107" s="1423" t="n">
        <v>46288</v>
      </c>
      <c r="AJ107" s="1423" t="n">
        <v>46295</v>
      </c>
      <c r="AK107" s="1423" t="n">
        <v>46309</v>
      </c>
      <c r="AL107" s="1423" t="str">
        <f>IFERROR(INDEX('برنامه خرد'!$I$2:$I$82,MATCH(Q107,'برنامه خرد'!$A$2:$A$82,0)),"")</f>
      </c>
      <c r="AM107" s="1423" t="n">
        <f>IF(AL107="",AN107,IF(T107="غلط یا کمتر از ۵۰٪",AL107+1,IF(T107="ناقص یا همراه با حدس",AL107+2,IF(T107="درست ولی کند و مردد",AL107+4,IF(T107="درست، سریع و کامل",IF(W107&gt;=2,AL107+IF(R107&lt;14,14,28),AL107+MIN(28,MAX(3,R107*2))),AN107)))))</f>
        <v>46282</v>
      </c>
      <c r="AN107" s="1423" t="n">
        <v>46282</v>
      </c>
      <c r="AO107" s="1423" t="n">
        <v>46317</v>
      </c>
    </row>
    <row r="108" ht="38" customHeight="1">
      <c r="A108" s="366" t="str">
        <v>U107</v>
      </c>
      <c r="B108" s="367" t="str">
        <v>نظریه‌های روان‌درمانی پروچاسکا</v>
      </c>
      <c r="C108" s="367" t="str">
        <v>نظریه‌های روان‌درمانی پروچاسکا</v>
      </c>
      <c r="D108" s="367" t="str">
        <v>11</v>
      </c>
      <c r="E108" s="367" t="str">
        <v>درمان‌های موج سوم</v>
      </c>
      <c r="F108" s="367" t="str">
        <v>واحد مطالعه بر اساس بازهٔ صفحه</v>
      </c>
      <c r="G108" s="367" t="str">
        <v>۵۴۰ تا ۵۵۸</v>
      </c>
      <c r="H108" s="680" t="n">
        <v>19</v>
      </c>
      <c r="I108" s="367" t="str">
        <v>۱۴۰۵/۰۶/۲۶</v>
      </c>
      <c r="J108" s="683" t="n">
        <v>61.2</v>
      </c>
      <c r="K108" s="367" t="str">
        <v>۱۴۰۵/۰۶/۲۶</v>
      </c>
      <c r="L108" s="367" t="str">
        <v>۱۴۰۵/۰۶/۲۷</v>
      </c>
      <c r="M108" s="367" t="str">
        <v>۱۴۰۵/۰۶/۲۹</v>
      </c>
      <c r="N108" s="367" t="str">
        <v>۱۴۰۵/۰۷/۰۲</v>
      </c>
      <c r="O108" s="367" t="str">
        <v>۱۴۰۵/۰۷/۰۹</v>
      </c>
      <c r="P108" s="367" t="str">
        <v>۱۴۰۵/۰۷/۲۳</v>
      </c>
      <c r="Q108" s="411"/>
      <c r="R108" s="687" t="n">
        <v>1</v>
      </c>
      <c r="S108" s="687"/>
      <c r="T108" s="412"/>
      <c r="U108" s="412"/>
      <c r="V108" s="412"/>
      <c r="W108" s="687" t="str">
        <v>0</v>
      </c>
      <c r="X108" s="412" t="str">
        <v>خیر</v>
      </c>
      <c r="Y108" s="413" t="str">
        <v>خیر</v>
      </c>
      <c r="Z108" s="430" t="str">
        <f>IF(AM108="","",IF(AM108&gt;AO108,"تثبیت نهایی",IFERROR(INDEX('برنامه خرد'!$A$2:$A$82,MATCH(AM108,'برنامه خرد'!$I$2:$I$82,0)),"تثبیت نهایی")))</f>
        <v>۱۴۰۵/۰۶/۲۸</v>
      </c>
      <c r="AA108" s="431" t="str">
        <v>۱۴۰۵/۰۶/۲۸</v>
      </c>
      <c r="AB108" s="690" t="n">
        <f>IF(AM108="","",AM108-AN108)</f>
        <v>0</v>
      </c>
      <c r="AC108" s="431" t="str">
        <f>IF(AM108="","فاقد داده",IF(AM108&gt;AO108,"انتقال به تثبیت نهایی",IF(AM108&lt;TODAY(),"عقب‌افتاده",IF(AM108=TODAY(),"سررسید امروز","آینده"))))</f>
        <v>آینده</v>
      </c>
      <c r="AD108" s="432" t="str">
        <f>IF(OR(AM108&gt;AO108,Z108="تثبیت نهایی"),"بله","خیر")</f>
        <v>خیر</v>
      </c>
      <c r="AE108" s="436" t="str">
        <v>این فرمول فقط تاریخ پیشنهادی را محاسبه می‌کند و ردیف‌های برنامهٔ روزانه را خودکار جابه‌جا نمی‌کند.</v>
      </c>
      <c r="AF108" s="1423" t="n">
        <v>46282</v>
      </c>
      <c r="AG108" s="1423" t="n">
        <v>46283</v>
      </c>
      <c r="AH108" s="1423" t="n">
        <v>46285</v>
      </c>
      <c r="AI108" s="1423" t="n">
        <v>46289</v>
      </c>
      <c r="AJ108" s="1423" t="n">
        <v>46296</v>
      </c>
      <c r="AK108" s="1423" t="n">
        <v>46310</v>
      </c>
      <c r="AL108" s="1423" t="str">
        <f>IFERROR(INDEX('برنامه خرد'!$I$2:$I$82,MATCH(Q108,'برنامه خرد'!$A$2:$A$82,0)),"")</f>
      </c>
      <c r="AM108" s="1423" t="n">
        <f>IF(AL108="",AN108,IF(T108="غلط یا کمتر از ۵۰٪",AL108+1,IF(T108="ناقص یا همراه با حدس",AL108+2,IF(T108="درست ولی کند و مردد",AL108+4,IF(T108="درست، سریع و کامل",IF(W108&gt;=2,AL108+IF(R108&lt;14,14,28),AL108+MIN(28,MAX(3,R108*2))),AN108)))))</f>
        <v>46284</v>
      </c>
      <c r="AN108" s="1423" t="n">
        <v>46284</v>
      </c>
      <c r="AO108" s="1423" t="n">
        <v>46317</v>
      </c>
    </row>
    <row r="109" ht="38" customHeight="1">
      <c r="A109" s="280" t="str">
        <v>U108</v>
      </c>
      <c r="B109" s="281" t="str">
        <v>نظریه‌های روان‌درمانی پروچاسکا</v>
      </c>
      <c r="C109" s="281" t="str">
        <v>نظریه‌های روان‌درمانی پروچاسکا</v>
      </c>
      <c r="D109" s="281" t="str">
        <v>12</v>
      </c>
      <c r="E109" s="281" t="str">
        <v>درمان‌های سیستمی</v>
      </c>
      <c r="F109" s="281" t="str">
        <v>واحد مطالعه بر اساس بازهٔ صفحه</v>
      </c>
      <c r="G109" s="281" t="str">
        <v>۵۵۹ تا ۵۶۶</v>
      </c>
      <c r="H109" s="681" t="n">
        <v>8</v>
      </c>
      <c r="I109" s="281" t="str">
        <v>۱۴۰۵/۰۶/۲۶</v>
      </c>
      <c r="J109" s="684" t="n">
        <v>25.8</v>
      </c>
      <c r="K109" s="281" t="str">
        <v>۱۴۰۵/۰۶/۲۶</v>
      </c>
      <c r="L109" s="281" t="str">
        <v>۱۴۰۵/۰۶/۲۷</v>
      </c>
      <c r="M109" s="281" t="str">
        <v>۱۴۰۵/۰۶/۲۹</v>
      </c>
      <c r="N109" s="281" t="str">
        <v>۱۴۰۵/۰۷/۰۲</v>
      </c>
      <c r="O109" s="281" t="str">
        <v>۱۴۰۵/۰۷/۰۹</v>
      </c>
      <c r="P109" s="281" t="str">
        <v>۱۴۰۵/۰۷/۲۳</v>
      </c>
      <c r="Q109" s="411"/>
      <c r="R109" s="687" t="n">
        <v>1</v>
      </c>
      <c r="S109" s="687"/>
      <c r="T109" s="412"/>
      <c r="U109" s="412"/>
      <c r="V109" s="412"/>
      <c r="W109" s="687" t="str">
        <v>0</v>
      </c>
      <c r="X109" s="412" t="str">
        <v>خیر</v>
      </c>
      <c r="Y109" s="413" t="str">
        <v>خیر</v>
      </c>
      <c r="Z109" s="430" t="str">
        <f>IF(AM109="","",IF(AM109&gt;AO109,"تثبیت نهایی",IFERROR(INDEX('برنامه خرد'!$A$2:$A$82,MATCH(AM109,'برنامه خرد'!$I$2:$I$82,0)),"تثبیت نهایی")))</f>
        <v>۱۴۰۵/۰۶/۲۸</v>
      </c>
      <c r="AA109" s="431" t="str">
        <v>۱۴۰۵/۰۶/۲۸</v>
      </c>
      <c r="AB109" s="690" t="n">
        <f>IF(AM109="","",AM109-AN109)</f>
        <v>0</v>
      </c>
      <c r="AC109" s="431" t="str">
        <f>IF(AM109="","فاقد داده",IF(AM109&gt;AO109,"انتقال به تثبیت نهایی",IF(AM109&lt;TODAY(),"عقب‌افتاده",IF(AM109=TODAY(),"سررسید امروز","آینده"))))</f>
        <v>آینده</v>
      </c>
      <c r="AD109" s="432" t="str">
        <f>IF(OR(AM109&gt;AO109,Z109="تثبیت نهایی"),"بله","خیر")</f>
        <v>خیر</v>
      </c>
      <c r="AE109" s="436" t="str">
        <v>این فرمول فقط تاریخ پیشنهادی را محاسبه می‌کند و ردیف‌های برنامهٔ روزانه را خودکار جابه‌جا نمی‌کند.</v>
      </c>
      <c r="AF109" s="1423" t="n">
        <v>46282</v>
      </c>
      <c r="AG109" s="1423" t="n">
        <v>46283</v>
      </c>
      <c r="AH109" s="1423" t="n">
        <v>46285</v>
      </c>
      <c r="AI109" s="1423" t="n">
        <v>46289</v>
      </c>
      <c r="AJ109" s="1423" t="n">
        <v>46296</v>
      </c>
      <c r="AK109" s="1423" t="n">
        <v>46310</v>
      </c>
      <c r="AL109" s="1423" t="str">
        <f>IFERROR(INDEX('برنامه خرد'!$I$2:$I$82,MATCH(Q109,'برنامه خرد'!$A$2:$A$82,0)),"")</f>
      </c>
      <c r="AM109" s="1423" t="n">
        <f>IF(AL109="",AN109,IF(T109="غلط یا کمتر از ۵۰٪",AL109+1,IF(T109="ناقص یا همراه با حدس",AL109+2,IF(T109="درست ولی کند و مردد",AL109+4,IF(T109="درست، سریع و کامل",IF(W109&gt;=2,AL109+IF(R109&lt;14,14,28),AL109+MIN(28,MAX(3,R109*2))),AN109)))))</f>
        <v>46284</v>
      </c>
      <c r="AN109" s="1423" t="n">
        <v>46284</v>
      </c>
      <c r="AO109" s="1423" t="n">
        <v>46317</v>
      </c>
    </row>
    <row r="110" ht="38" customHeight="1">
      <c r="A110" s="366" t="str">
        <v>U109</v>
      </c>
      <c r="B110" s="367" t="str">
        <v>نظریه‌های روان‌درمانی پروچاسکا</v>
      </c>
      <c r="C110" s="367" t="str">
        <v>نظریه‌های روان‌درمانی پروچاسکا</v>
      </c>
      <c r="D110" s="367" t="str">
        <v>12</v>
      </c>
      <c r="E110" s="367" t="str">
        <v>درمان‌های سیستمی</v>
      </c>
      <c r="F110" s="367" t="str">
        <v>واحد مطالعه بر اساس بازهٔ صفحه</v>
      </c>
      <c r="G110" s="367" t="str">
        <v>۵۶۷ تا ۵۷۴</v>
      </c>
      <c r="H110" s="680" t="n">
        <v>8</v>
      </c>
      <c r="I110" s="367" t="str">
        <v>۱۴۰۵/۰۶/۲۸</v>
      </c>
      <c r="J110" s="683" t="n">
        <v>25</v>
      </c>
      <c r="K110" s="367" t="str">
        <v>۱۴۰۵/۰۶/۲۸</v>
      </c>
      <c r="L110" s="367" t="str">
        <v>۱۴۰۵/۰۶/۲۹</v>
      </c>
      <c r="M110" s="367" t="str">
        <v>۱۴۰۵/۰۶/۳۱</v>
      </c>
      <c r="N110" s="367" t="str">
        <v>۱۴۰۵/۰۷/۰۴</v>
      </c>
      <c r="O110" s="367" t="str">
        <v>۱۴۰۵/۰۷/۱۱</v>
      </c>
      <c r="P110" s="367" t="str">
        <v>۱۴۰۵/۰۷/۲۵</v>
      </c>
      <c r="Q110" s="411"/>
      <c r="R110" s="687" t="n">
        <v>1</v>
      </c>
      <c r="S110" s="687"/>
      <c r="T110" s="412"/>
      <c r="U110" s="412"/>
      <c r="V110" s="412"/>
      <c r="W110" s="687" t="str">
        <v>0</v>
      </c>
      <c r="X110" s="412" t="str">
        <v>خیر</v>
      </c>
      <c r="Y110" s="413" t="str">
        <v>خیر</v>
      </c>
      <c r="Z110" s="430" t="str">
        <f>IF(AM110="","",IF(AM110&gt;AO110,"تثبیت نهایی",IFERROR(INDEX('برنامه خرد'!$A$2:$A$82,MATCH(AM110,'برنامه خرد'!$I$2:$I$82,0)),"تثبیت نهایی")))</f>
        <v>۱۴۰۵/۰۶/۲۹</v>
      </c>
      <c r="AA110" s="431" t="str">
        <v>۱۴۰۵/۰۶/۲۹</v>
      </c>
      <c r="AB110" s="690" t="n">
        <f>IF(AM110="","",AM110-AN110)</f>
        <v>0</v>
      </c>
      <c r="AC110" s="431" t="str">
        <f>IF(AM110="","فاقد داده",IF(AM110&gt;AO110,"انتقال به تثبیت نهایی",IF(AM110&lt;TODAY(),"عقب‌افتاده",IF(AM110=TODAY(),"سررسید امروز","آینده"))))</f>
        <v>آینده</v>
      </c>
      <c r="AD110" s="432" t="str">
        <f>IF(OR(AM110&gt;AO110,Z110="تثبیت نهایی"),"بله","خیر")</f>
        <v>خیر</v>
      </c>
      <c r="AE110" s="436" t="str">
        <v>این فرمول فقط تاریخ پیشنهادی را محاسبه می‌کند و ردیف‌های برنامهٔ روزانه را خودکار جابه‌جا نمی‌کند.</v>
      </c>
      <c r="AF110" s="1423" t="n">
        <v>46284</v>
      </c>
      <c r="AG110" s="1423" t="n">
        <v>46285</v>
      </c>
      <c r="AH110" s="1423" t="n">
        <v>46287</v>
      </c>
      <c r="AI110" s="1423" t="n">
        <v>46291</v>
      </c>
      <c r="AJ110" s="1423" t="n">
        <v>46298</v>
      </c>
      <c r="AK110" s="1423" t="n">
        <v>46312</v>
      </c>
      <c r="AL110" s="1423" t="str">
        <f>IFERROR(INDEX('برنامه خرد'!$I$2:$I$82,MATCH(Q110,'برنامه خرد'!$A$2:$A$82,0)),"")</f>
      </c>
      <c r="AM110" s="1423" t="n">
        <f>IF(AL110="",AN110,IF(T110="غلط یا کمتر از ۵۰٪",AL110+1,IF(T110="ناقص یا همراه با حدس",AL110+2,IF(T110="درست ولی کند و مردد",AL110+4,IF(T110="درست، سریع و کامل",IF(W110&gt;=2,AL110+IF(R110&lt;14,14,28),AL110+MIN(28,MAX(3,R110*2))),AN110)))))</f>
        <v>46285</v>
      </c>
      <c r="AN110" s="1423" t="n">
        <v>46285</v>
      </c>
      <c r="AO110" s="1423" t="n">
        <v>46317</v>
      </c>
    </row>
    <row r="111" ht="38" customHeight="1">
      <c r="A111" s="280" t="str">
        <v>U110</v>
      </c>
      <c r="B111" s="281" t="str">
        <v>نظریه‌های روان‌درمانی پروچاسکا</v>
      </c>
      <c r="C111" s="281" t="str">
        <v>نظریه‌های روان‌درمانی پروچاسکا</v>
      </c>
      <c r="D111" s="281" t="str">
        <v>12</v>
      </c>
      <c r="E111" s="281" t="str">
        <v>درمان‌های سیستمی</v>
      </c>
      <c r="F111" s="281" t="str">
        <v>واحد مطالعه بر اساس بازهٔ صفحه</v>
      </c>
      <c r="G111" s="281" t="str">
        <v>۵۷۵ تا ۶۰۱</v>
      </c>
      <c r="H111" s="681" t="n">
        <v>27</v>
      </c>
      <c r="I111" s="281" t="str">
        <v>۱۴۰۵/۰۶/۲۹</v>
      </c>
      <c r="J111" s="684" t="n">
        <v>87</v>
      </c>
      <c r="K111" s="281" t="str">
        <v>۱۴۰۵/۰۶/۲۹</v>
      </c>
      <c r="L111" s="281" t="str">
        <v>۱۴۰۵/۰۶/۳۰</v>
      </c>
      <c r="M111" s="281" t="str">
        <v>۱۴۰۵/۰۷/۰۱</v>
      </c>
      <c r="N111" s="281" t="str">
        <v>۱۴۰۵/۰۷/۰۵</v>
      </c>
      <c r="O111" s="281" t="str">
        <v>۱۴۰۵/۰۷/۱۲</v>
      </c>
      <c r="P111" s="281" t="str">
        <v>۱۴۰۵/۰۷/۲۶</v>
      </c>
      <c r="Q111" s="411"/>
      <c r="R111" s="687" t="n">
        <v>1</v>
      </c>
      <c r="S111" s="687"/>
      <c r="T111" s="412"/>
      <c r="U111" s="412"/>
      <c r="V111" s="412"/>
      <c r="W111" s="687" t="str">
        <v>0</v>
      </c>
      <c r="X111" s="412" t="str">
        <v>خیر</v>
      </c>
      <c r="Y111" s="413" t="str">
        <v>خیر</v>
      </c>
      <c r="Z111" s="430" t="str">
        <f>IF(AM111="","",IF(AM111&gt;AO111,"تثبیت نهایی",IFERROR(INDEX('برنامه خرد'!$A$2:$A$82,MATCH(AM111,'برنامه خرد'!$I$2:$I$82,0)),"تثبیت نهایی")))</f>
        <v>۱۴۰۵/۰۶/۳۱</v>
      </c>
      <c r="AA111" s="431" t="str">
        <v>۱۴۰۵/۰۶/۳۱</v>
      </c>
      <c r="AB111" s="690" t="n">
        <f>IF(AM111="","",AM111-AN111)</f>
        <v>0</v>
      </c>
      <c r="AC111" s="431" t="str">
        <f>IF(AM111="","فاقد داده",IF(AM111&gt;AO111,"انتقال به تثبیت نهایی",IF(AM111&lt;TODAY(),"عقب‌افتاده",IF(AM111=TODAY(),"سررسید امروز","آینده"))))</f>
        <v>آینده</v>
      </c>
      <c r="AD111" s="432" t="str">
        <f>IF(OR(AM111&gt;AO111,Z111="تثبیت نهایی"),"بله","خیر")</f>
        <v>خیر</v>
      </c>
      <c r="AE111" s="436" t="str">
        <v>این فرمول فقط تاریخ پیشنهادی را محاسبه می‌کند و ردیف‌های برنامهٔ روزانه را خودکار جابه‌جا نمی‌کند.</v>
      </c>
      <c r="AF111" s="1423" t="n">
        <v>46285</v>
      </c>
      <c r="AG111" s="1423" t="n">
        <v>46286</v>
      </c>
      <c r="AH111" s="1423" t="n">
        <v>46288</v>
      </c>
      <c r="AI111" s="1423" t="n">
        <v>46292</v>
      </c>
      <c r="AJ111" s="1423" t="n">
        <v>46299</v>
      </c>
      <c r="AK111" s="1423" t="n">
        <v>46313</v>
      </c>
      <c r="AL111" s="1423" t="str">
        <f>IFERROR(INDEX('برنامه خرد'!$I$2:$I$82,MATCH(Q111,'برنامه خرد'!$A$2:$A$82,0)),"")</f>
      </c>
      <c r="AM111" s="1423" t="n">
        <f>IF(AL111="",AN111,IF(T111="غلط یا کمتر از ۵۰٪",AL111+1,IF(T111="ناقص یا همراه با حدس",AL111+2,IF(T111="درست ولی کند و مردد",AL111+4,IF(T111="درست، سریع و کامل",IF(W111&gt;=2,AL111+IF(R111&lt;14,14,28),AL111+MIN(28,MAX(3,R111*2))),AN111)))))</f>
        <v>46287</v>
      </c>
      <c r="AN111" s="1423" t="n">
        <v>46287</v>
      </c>
      <c r="AO111" s="1423" t="n">
        <v>46317</v>
      </c>
    </row>
    <row r="112" ht="38" customHeight="1">
      <c r="A112" s="366" t="str">
        <v>U111</v>
      </c>
      <c r="B112" s="367" t="str">
        <v>نظریه‌های روان‌درمانی پروچاسکا</v>
      </c>
      <c r="C112" s="367" t="str">
        <v>نظریه‌های روان‌درمانی پروچاسکا</v>
      </c>
      <c r="D112" s="367" t="str">
        <v>12</v>
      </c>
      <c r="E112" s="367" t="str">
        <v>درمان‌های سیستمی</v>
      </c>
      <c r="F112" s="367" t="str">
        <v>واحد مطالعه بر اساس بازهٔ صفحه</v>
      </c>
      <c r="G112" s="367" t="str">
        <v>۶۰۲ تا ۶۰۹</v>
      </c>
      <c r="H112" s="680" t="n">
        <v>8</v>
      </c>
      <c r="I112" s="367" t="str">
        <v>۱۴۰۵/۰۶/۳۱</v>
      </c>
      <c r="J112" s="683" t="n">
        <v>25</v>
      </c>
      <c r="K112" s="367" t="str">
        <v>۱۴۰۵/۰۶/۳۱</v>
      </c>
      <c r="L112" s="367" t="str">
        <v>۱۴۰۵/۰۷/۰۱</v>
      </c>
      <c r="M112" s="367" t="str">
        <v>۱۴۰۵/۰۷/۰۳</v>
      </c>
      <c r="N112" s="367" t="str">
        <v>۱۴۰۵/۰۷/۰۷</v>
      </c>
      <c r="O112" s="367" t="str">
        <v>۱۴۰۵/۰۷/۱۴</v>
      </c>
      <c r="P112" s="367" t="str">
        <v>۱۴۰۵/۰۷/۲۸</v>
      </c>
      <c r="Q112" s="411"/>
      <c r="R112" s="687" t="n">
        <v>1</v>
      </c>
      <c r="S112" s="687"/>
      <c r="T112" s="412"/>
      <c r="U112" s="412"/>
      <c r="V112" s="412"/>
      <c r="W112" s="687" t="str">
        <v>0</v>
      </c>
      <c r="X112" s="412" t="str">
        <v>خیر</v>
      </c>
      <c r="Y112" s="413" t="str">
        <v>خیر</v>
      </c>
      <c r="Z112" s="430" t="str">
        <f>IF(AM112="","",IF(AM112&gt;AO112,"تثبیت نهایی",IFERROR(INDEX('برنامه خرد'!$A$2:$A$82,MATCH(AM112,'برنامه خرد'!$I$2:$I$82,0)),"تثبیت نهایی")))</f>
        <v>۱۴۰۵/۰۷/۰۱</v>
      </c>
      <c r="AA112" s="431" t="str">
        <v>۱۴۰۵/۰۷/۰۱</v>
      </c>
      <c r="AB112" s="690" t="n">
        <f>IF(AM112="","",AM112-AN112)</f>
        <v>0</v>
      </c>
      <c r="AC112" s="431" t="str">
        <f>IF(AM112="","فاقد داده",IF(AM112&gt;AO112,"انتقال به تثبیت نهایی",IF(AM112&lt;TODAY(),"عقب‌افتاده",IF(AM112=TODAY(),"سررسید امروز","آینده"))))</f>
        <v>آینده</v>
      </c>
      <c r="AD112" s="432" t="str">
        <f>IF(OR(AM112&gt;AO112,Z112="تثبیت نهایی"),"بله","خیر")</f>
        <v>خیر</v>
      </c>
      <c r="AE112" s="436" t="str">
        <v>این فرمول فقط تاریخ پیشنهادی را محاسبه می‌کند و ردیف‌های برنامهٔ روزانه را خودکار جابه‌جا نمی‌کند.</v>
      </c>
      <c r="AF112" s="1423" t="n">
        <v>46287</v>
      </c>
      <c r="AG112" s="1423" t="n">
        <v>46288</v>
      </c>
      <c r="AH112" s="1423" t="n">
        <v>46290</v>
      </c>
      <c r="AI112" s="1423" t="n">
        <v>46294</v>
      </c>
      <c r="AJ112" s="1423" t="n">
        <v>46301</v>
      </c>
      <c r="AK112" s="1423" t="n">
        <v>46315</v>
      </c>
      <c r="AL112" s="1423" t="str">
        <f>IFERROR(INDEX('برنامه خرد'!$I$2:$I$82,MATCH(Q112,'برنامه خرد'!$A$2:$A$82,0)),"")</f>
      </c>
      <c r="AM112" s="1423" t="n">
        <f>IF(AL112="",AN112,IF(T112="غلط یا کمتر از ۵۰٪",AL112+1,IF(T112="ناقص یا همراه با حدس",AL112+2,IF(T112="درست ولی کند و مردد",AL112+4,IF(T112="درست، سریع و کامل",IF(W112&gt;=2,AL112+IF(R112&lt;14,14,28),AL112+MIN(28,MAX(3,R112*2))),AN112)))))</f>
        <v>46288</v>
      </c>
      <c r="AN112" s="1423" t="n">
        <v>46288</v>
      </c>
      <c r="AO112" s="1423" t="n">
        <v>46317</v>
      </c>
    </row>
    <row r="113" ht="38" customHeight="1">
      <c r="A113" s="280" t="str">
        <v>U112</v>
      </c>
      <c r="B113" s="281" t="str">
        <v>نظریه‌های روان‌درمانی پروچاسکا</v>
      </c>
      <c r="C113" s="281" t="str">
        <v>نظریه‌های روان‌درمانی پروچاسکا</v>
      </c>
      <c r="D113" s="281" t="str">
        <v>12</v>
      </c>
      <c r="E113" s="281" t="str">
        <v>درمان‌های سیستمی</v>
      </c>
      <c r="F113" s="281" t="str">
        <v>واحد مطالعه بر اساس بازهٔ صفحه</v>
      </c>
      <c r="G113" s="281" t="str">
        <v>۶۱۰ تا ۶۲۲</v>
      </c>
      <c r="H113" s="681" t="n">
        <v>13</v>
      </c>
      <c r="I113" s="281" t="str">
        <v>۱۴۰۵/۰۷/۰۱</v>
      </c>
      <c r="J113" s="684" t="n">
        <v>41.9</v>
      </c>
      <c r="K113" s="281" t="str">
        <v>۱۴۰۵/۰۷/۰۱</v>
      </c>
      <c r="L113" s="281" t="str">
        <v>۱۴۰۵/۰۷/۰۲</v>
      </c>
      <c r="M113" s="281" t="str">
        <v>۱۴۰۵/۰۷/۰۴</v>
      </c>
      <c r="N113" s="281" t="str">
        <v>۱۴۰۵/۰۷/۰۸</v>
      </c>
      <c r="O113" s="281" t="str">
        <v>۱۴۰۵/۰۷/۱۵</v>
      </c>
      <c r="P113" s="281" t="str">
        <v>۱۴۰۵/۰۷/۲۹</v>
      </c>
      <c r="Q113" s="411"/>
      <c r="R113" s="687" t="n">
        <v>1</v>
      </c>
      <c r="S113" s="687"/>
      <c r="T113" s="412"/>
      <c r="U113" s="412"/>
      <c r="V113" s="412"/>
      <c r="W113" s="687" t="str">
        <v>0</v>
      </c>
      <c r="X113" s="412" t="str">
        <v>خیر</v>
      </c>
      <c r="Y113" s="413" t="str">
        <v>خیر</v>
      </c>
      <c r="Z113" s="430" t="str">
        <f>IF(AM113="","",IF(AM113&gt;AO113,"تثبیت نهایی",IFERROR(INDEX('برنامه خرد'!$A$2:$A$82,MATCH(AM113,'برنامه خرد'!$I$2:$I$82,0)),"تثبیت نهایی")))</f>
        <v>۱۴۰۵/۰۷/۰۱</v>
      </c>
      <c r="AA113" s="431" t="str">
        <v>۱۴۰۵/۰۷/۰۱</v>
      </c>
      <c r="AB113" s="690" t="n">
        <f>IF(AM113="","",AM113-AN113)</f>
        <v>0</v>
      </c>
      <c r="AC113" s="431" t="str">
        <f>IF(AM113="","فاقد داده",IF(AM113&gt;AO113,"انتقال به تثبیت نهایی",IF(AM113&lt;TODAY(),"عقب‌افتاده",IF(AM113=TODAY(),"سررسید امروز","آینده"))))</f>
        <v>آینده</v>
      </c>
      <c r="AD113" s="432" t="str">
        <f>IF(OR(AM113&gt;AO113,Z113="تثبیت نهایی"),"بله","خیر")</f>
        <v>خیر</v>
      </c>
      <c r="AE113" s="436" t="str">
        <v>این فرمول فقط تاریخ پیشنهادی را محاسبه می‌کند و ردیف‌های برنامهٔ روزانه را خودکار جابه‌جا نمی‌کند.</v>
      </c>
      <c r="AF113" s="1423" t="n">
        <v>46288</v>
      </c>
      <c r="AG113" s="1423" t="n">
        <v>46289</v>
      </c>
      <c r="AH113" s="1423" t="n">
        <v>46291</v>
      </c>
      <c r="AI113" s="1423" t="n">
        <v>46295</v>
      </c>
      <c r="AJ113" s="1423" t="n">
        <v>46302</v>
      </c>
      <c r="AK113" s="1423" t="n">
        <v>46316</v>
      </c>
      <c r="AL113" s="1423" t="str">
        <f>IFERROR(INDEX('برنامه خرد'!$I$2:$I$82,MATCH(Q113,'برنامه خرد'!$A$2:$A$82,0)),"")</f>
      </c>
      <c r="AM113" s="1423" t="n">
        <f>IF(AL113="",AN113,IF(T113="غلط یا کمتر از ۵۰٪",AL113+1,IF(T113="ناقص یا همراه با حدس",AL113+2,IF(T113="درست ولی کند و مردد",AL113+4,IF(T113="درست، سریع و کامل",IF(W113&gt;=2,AL113+IF(R113&lt;14,14,28),AL113+MIN(28,MAX(3,R113*2))),AN113)))))</f>
        <v>46288</v>
      </c>
      <c r="AN113" s="1423" t="n">
        <v>46288</v>
      </c>
      <c r="AO113" s="1423" t="n">
        <v>46317</v>
      </c>
    </row>
    <row r="114" ht="38" customHeight="1">
      <c r="A114" s="366" t="str">
        <v>U113</v>
      </c>
      <c r="B114" s="367" t="str">
        <v>نظریه‌های روان‌درمانی پروچاسکا</v>
      </c>
      <c r="C114" s="367" t="str">
        <v>نظریه‌های روان‌درمانی پروچاسکا</v>
      </c>
      <c r="D114" s="367" t="str">
        <v>13</v>
      </c>
      <c r="E114" s="367" t="str">
        <v>درمان‌های حساس به جنسیت</v>
      </c>
      <c r="F114" s="367" t="str">
        <v>واحد مطالعه بر اساس بازهٔ صفحه</v>
      </c>
      <c r="G114" s="367" t="str">
        <v>۶۲۳ تا ۶۳۶</v>
      </c>
      <c r="H114" s="680" t="n">
        <v>14</v>
      </c>
      <c r="I114" s="367" t="str">
        <v>۱۴۰۵/۰۷/۰۱</v>
      </c>
      <c r="J114" s="683" t="n">
        <v>45.1</v>
      </c>
      <c r="K114" s="367" t="str">
        <v>۱۴۰۵/۰۷/۰۱</v>
      </c>
      <c r="L114" s="367" t="str">
        <v>۱۴۰۵/۰۷/۰۲</v>
      </c>
      <c r="M114" s="367" t="str">
        <v>۱۴۰۵/۰۷/۰۴</v>
      </c>
      <c r="N114" s="367" t="str">
        <v>۱۴۰۵/۰۷/۰۸</v>
      </c>
      <c r="O114" s="367" t="str">
        <v>۱۴۰۵/۰۷/۱۵</v>
      </c>
      <c r="P114" s="367" t="str">
        <v>۱۴۰۵/۰۷/۲۹</v>
      </c>
      <c r="Q114" s="411"/>
      <c r="R114" s="687" t="n">
        <v>1</v>
      </c>
      <c r="S114" s="687"/>
      <c r="T114" s="412"/>
      <c r="U114" s="412"/>
      <c r="V114" s="412"/>
      <c r="W114" s="687" t="str">
        <v>0</v>
      </c>
      <c r="X114" s="412" t="str">
        <v>خیر</v>
      </c>
      <c r="Y114" s="413" t="str">
        <v>خیر</v>
      </c>
      <c r="Z114" s="430" t="str">
        <f>IF(AM114="","",IF(AM114&gt;AO114,"تثبیت نهایی",IFERROR(INDEX('برنامه خرد'!$A$2:$A$82,MATCH(AM114,'برنامه خرد'!$I$2:$I$82,0)),"تثبیت نهایی")))</f>
        <v>۱۴۰۵/۰۷/۰۱</v>
      </c>
      <c r="AA114" s="431" t="str">
        <v>۱۴۰۵/۰۷/۰۱</v>
      </c>
      <c r="AB114" s="690" t="n">
        <f>IF(AM114="","",AM114-AN114)</f>
        <v>0</v>
      </c>
      <c r="AC114" s="431" t="str">
        <f>IF(AM114="","فاقد داده",IF(AM114&gt;AO114,"انتقال به تثبیت نهایی",IF(AM114&lt;TODAY(),"عقب‌افتاده",IF(AM114=TODAY(),"سررسید امروز","آینده"))))</f>
        <v>آینده</v>
      </c>
      <c r="AD114" s="432" t="str">
        <f>IF(OR(AM114&gt;AO114,Z114="تثبیت نهایی"),"بله","خیر")</f>
        <v>خیر</v>
      </c>
      <c r="AE114" s="436" t="str">
        <v>این فرمول فقط تاریخ پیشنهادی را محاسبه می‌کند و ردیف‌های برنامهٔ روزانه را خودکار جابه‌جا نمی‌کند.</v>
      </c>
      <c r="AF114" s="1423" t="n">
        <v>46288</v>
      </c>
      <c r="AG114" s="1423" t="n">
        <v>46289</v>
      </c>
      <c r="AH114" s="1423" t="n">
        <v>46291</v>
      </c>
      <c r="AI114" s="1423" t="n">
        <v>46295</v>
      </c>
      <c r="AJ114" s="1423" t="n">
        <v>46302</v>
      </c>
      <c r="AK114" s="1423" t="n">
        <v>46316</v>
      </c>
      <c r="AL114" s="1423" t="str">
        <f>IFERROR(INDEX('برنامه خرد'!$I$2:$I$82,MATCH(Q114,'برنامه خرد'!$A$2:$A$82,0)),"")</f>
      </c>
      <c r="AM114" s="1423" t="n">
        <f>IF(AL114="",AN114,IF(T114="غلط یا کمتر از ۵۰٪",AL114+1,IF(T114="ناقص یا همراه با حدس",AL114+2,IF(T114="درست ولی کند و مردد",AL114+4,IF(T114="درست، سریع و کامل",IF(W114&gt;=2,AL114+IF(R114&lt;14,14,28),AL114+MIN(28,MAX(3,R114*2))),AN114)))))</f>
        <v>46288</v>
      </c>
      <c r="AN114" s="1423" t="n">
        <v>46288</v>
      </c>
      <c r="AO114" s="1423" t="n">
        <v>46317</v>
      </c>
    </row>
    <row r="115" ht="38" customHeight="1">
      <c r="A115" s="280" t="str">
        <v>U114</v>
      </c>
      <c r="B115" s="281" t="str">
        <v>نظریه‌های روان‌درمانی پروچاسکا</v>
      </c>
      <c r="C115" s="281" t="str">
        <v>نظریه‌های روان‌درمانی پروچاسکا</v>
      </c>
      <c r="D115" s="281" t="str">
        <v>13</v>
      </c>
      <c r="E115" s="281" t="str">
        <v>درمان‌های حساس به جنسیت</v>
      </c>
      <c r="F115" s="281" t="str">
        <v>واحد مطالعه بر اساس بازهٔ صفحه</v>
      </c>
      <c r="G115" s="281" t="str">
        <v>۶۳۷ تا ۶۶۲</v>
      </c>
      <c r="H115" s="681" t="n">
        <v>26</v>
      </c>
      <c r="I115" s="281" t="str">
        <v>۱۴۰۵/۰۷/۰۴</v>
      </c>
      <c r="J115" s="684" t="n">
        <v>83.8</v>
      </c>
      <c r="K115" s="281" t="str">
        <v>۱۴۰۵/۰۷/۰۴</v>
      </c>
      <c r="L115" s="281" t="str">
        <v>۱۴۰۵/۰۷/۰۵</v>
      </c>
      <c r="M115" s="281" t="str">
        <v>۱۴۰۵/۰۷/۰۷</v>
      </c>
      <c r="N115" s="281" t="str">
        <v>۱۴۰۵/۰۷/۱۱</v>
      </c>
      <c r="O115" s="281" t="str">
        <v>۱۴۰۵/۰۷/۱۸</v>
      </c>
      <c r="P115" s="281" t="str">
        <v>تثبیت نهایی</v>
      </c>
      <c r="Q115" s="411"/>
      <c r="R115" s="687" t="n">
        <v>1</v>
      </c>
      <c r="S115" s="687"/>
      <c r="T115" s="412"/>
      <c r="U115" s="412"/>
      <c r="V115" s="412"/>
      <c r="W115" s="687" t="str">
        <v>0</v>
      </c>
      <c r="X115" s="412" t="str">
        <v>خیر</v>
      </c>
      <c r="Y115" s="413" t="str">
        <v>خیر</v>
      </c>
      <c r="Z115" s="430" t="str">
        <f>IF(AM115="","",IF(AM115&gt;AO115,"تثبیت نهایی",IFERROR(INDEX('برنامه خرد'!$A$2:$A$82,MATCH(AM115,'برنامه خرد'!$I$2:$I$82,0)),"تثبیت نهایی")))</f>
        <v>۱۴۰۵/۰۷/۰۶</v>
      </c>
      <c r="AA115" s="431" t="str">
        <v>۱۴۰۵/۰۷/۰۶</v>
      </c>
      <c r="AB115" s="690" t="n">
        <f>IF(AM115="","",AM115-AN115)</f>
        <v>0</v>
      </c>
      <c r="AC115" s="431" t="str">
        <f>IF(AM115="","فاقد داده",IF(AM115&gt;AO115,"انتقال به تثبیت نهایی",IF(AM115&lt;TODAY(),"عقب‌افتاده",IF(AM115=TODAY(),"سررسید امروز","آینده"))))</f>
        <v>آینده</v>
      </c>
      <c r="AD115" s="432" t="str">
        <f>IF(OR(AM115&gt;AO115,Z115="تثبیت نهایی"),"بله","خیر")</f>
        <v>خیر</v>
      </c>
      <c r="AE115" s="436" t="str">
        <v>این فرمول فقط تاریخ پیشنهادی را محاسبه می‌کند و ردیف‌های برنامهٔ روزانه را خودکار جابه‌جا نمی‌کند.</v>
      </c>
      <c r="AF115" s="1423" t="n">
        <v>46291</v>
      </c>
      <c r="AG115" s="1423" t="n">
        <v>46292</v>
      </c>
      <c r="AH115" s="1423" t="n">
        <v>46294</v>
      </c>
      <c r="AI115" s="1423" t="n">
        <v>46298</v>
      </c>
      <c r="AJ115" s="1423" t="n">
        <v>46305</v>
      </c>
      <c r="AK115" s="1423" t="n">
        <v>46319</v>
      </c>
      <c r="AL115" s="1423" t="str">
        <f>IFERROR(INDEX('برنامه خرد'!$I$2:$I$82,MATCH(Q115,'برنامه خرد'!$A$2:$A$82,0)),"")</f>
      </c>
      <c r="AM115" s="1423" t="n">
        <f>IF(AL115="",AN115,IF(T115="غلط یا کمتر از ۵۰٪",AL115+1,IF(T115="ناقص یا همراه با حدس",AL115+2,IF(T115="درست ولی کند و مردد",AL115+4,IF(T115="درست، سریع و کامل",IF(W115&gt;=2,AL115+IF(R115&lt;14,14,28),AL115+MIN(28,MAX(3,R115*2))),AN115)))))</f>
        <v>46293</v>
      </c>
      <c r="AN115" s="1423" t="n">
        <v>46293</v>
      </c>
      <c r="AO115" s="1423" t="n">
        <v>46317</v>
      </c>
    </row>
    <row r="116" ht="38" customHeight="1">
      <c r="A116" s="366" t="str">
        <v>U115</v>
      </c>
      <c r="B116" s="367" t="str">
        <v>نظریه‌های روان‌درمانی پروچاسکا</v>
      </c>
      <c r="C116" s="367" t="str">
        <v>نظریه‌های روان‌درمانی پروچاسکا</v>
      </c>
      <c r="D116" s="367" t="str">
        <v>14</v>
      </c>
      <c r="E116" s="367" t="str">
        <v>درمان‌های چندفرهنگی</v>
      </c>
      <c r="F116" s="367" t="str">
        <v>واحد مطالعه بر اساس بازهٔ صفحه</v>
      </c>
      <c r="G116" s="367" t="str">
        <v>۶۶۳ تا ۶۶۳</v>
      </c>
      <c r="H116" s="680" t="n">
        <v>1</v>
      </c>
      <c r="I116" s="367" t="str">
        <v>۱۴۰۵/۰۷/۰۴</v>
      </c>
      <c r="J116" s="683" t="n">
        <v>3.2</v>
      </c>
      <c r="K116" s="367" t="str">
        <v>۱۴۰۵/۰۷/۰۴</v>
      </c>
      <c r="L116" s="367" t="str">
        <v>۱۴۰۵/۰۷/۰۵</v>
      </c>
      <c r="M116" s="367" t="str">
        <v>۱۴۰۵/۰۷/۰۷</v>
      </c>
      <c r="N116" s="367" t="str">
        <v>۱۴۰۵/۰۷/۱۱</v>
      </c>
      <c r="O116" s="367" t="str">
        <v>۱۴۰۵/۰۷/۱۸</v>
      </c>
      <c r="P116" s="367" t="str">
        <v>تثبیت نهایی</v>
      </c>
      <c r="Q116" s="411"/>
      <c r="R116" s="687" t="n">
        <v>1</v>
      </c>
      <c r="S116" s="687"/>
      <c r="T116" s="412"/>
      <c r="U116" s="412"/>
      <c r="V116" s="412"/>
      <c r="W116" s="687" t="str">
        <v>0</v>
      </c>
      <c r="X116" s="412" t="str">
        <v>خیر</v>
      </c>
      <c r="Y116" s="413" t="str">
        <v>خیر</v>
      </c>
      <c r="Z116" s="430" t="str">
        <f>IF(AM116="","",IF(AM116&gt;AO116,"تثبیت نهایی",IFERROR(INDEX('برنامه خرد'!$A$2:$A$82,MATCH(AM116,'برنامه خرد'!$I$2:$I$82,0)),"تثبیت نهایی")))</f>
        <v>۱۴۰۵/۰۷/۰۶</v>
      </c>
      <c r="AA116" s="431" t="str">
        <v>۱۴۰۵/۰۷/۰۶</v>
      </c>
      <c r="AB116" s="690" t="n">
        <f>IF(AM116="","",AM116-AN116)</f>
        <v>0</v>
      </c>
      <c r="AC116" s="431" t="str">
        <f>IF(AM116="","فاقد داده",IF(AM116&gt;AO116,"انتقال به تثبیت نهایی",IF(AM116&lt;TODAY(),"عقب‌افتاده",IF(AM116=TODAY(),"سررسید امروز","آینده"))))</f>
        <v>آینده</v>
      </c>
      <c r="AD116" s="432" t="str">
        <f>IF(OR(AM116&gt;AO116,Z116="تثبیت نهایی"),"بله","خیر")</f>
        <v>خیر</v>
      </c>
      <c r="AE116" s="436" t="str">
        <v>این فرمول فقط تاریخ پیشنهادی را محاسبه می‌کند و ردیف‌های برنامهٔ روزانه را خودکار جابه‌جا نمی‌کند.</v>
      </c>
      <c r="AF116" s="1423" t="n">
        <v>46291</v>
      </c>
      <c r="AG116" s="1423" t="n">
        <v>46292</v>
      </c>
      <c r="AH116" s="1423" t="n">
        <v>46294</v>
      </c>
      <c r="AI116" s="1423" t="n">
        <v>46298</v>
      </c>
      <c r="AJ116" s="1423" t="n">
        <v>46305</v>
      </c>
      <c r="AK116" s="1423" t="n">
        <v>46319</v>
      </c>
      <c r="AL116" s="1423" t="str">
        <f>IFERROR(INDEX('برنامه خرد'!$I$2:$I$82,MATCH(Q116,'برنامه خرد'!$A$2:$A$82,0)),"")</f>
      </c>
      <c r="AM116" s="1423" t="n">
        <f>IF(AL116="",AN116,IF(T116="غلط یا کمتر از ۵۰٪",AL116+1,IF(T116="ناقص یا همراه با حدس",AL116+2,IF(T116="درست ولی کند و مردد",AL116+4,IF(T116="درست، سریع و کامل",IF(W116&gt;=2,AL116+IF(R116&lt;14,14,28),AL116+MIN(28,MAX(3,R116*2))),AN116)))))</f>
        <v>46293</v>
      </c>
      <c r="AN116" s="1423" t="n">
        <v>46293</v>
      </c>
      <c r="AO116" s="1423" t="n">
        <v>46317</v>
      </c>
    </row>
    <row r="117" ht="38" customHeight="1">
      <c r="A117" s="280" t="str">
        <v>U116</v>
      </c>
      <c r="B117" s="281" t="str">
        <v>نظریه‌های روان‌درمانی پروچاسکا</v>
      </c>
      <c r="C117" s="281" t="str">
        <v>نظریه‌های روان‌درمانی پروچاسکا</v>
      </c>
      <c r="D117" s="281" t="str">
        <v>14</v>
      </c>
      <c r="E117" s="281" t="str">
        <v>درمان‌های چندفرهنگی</v>
      </c>
      <c r="F117" s="281" t="str">
        <v>واحد مطالعه بر اساس بازهٔ صفحه</v>
      </c>
      <c r="G117" s="281" t="str">
        <v>۶۶۴ تا ۶۹۰</v>
      </c>
      <c r="H117" s="681" t="n">
        <v>27</v>
      </c>
      <c r="I117" s="281" t="str">
        <v>۱۴۰۵/۰۷/۰۶</v>
      </c>
      <c r="J117" s="684" t="n">
        <v>87</v>
      </c>
      <c r="K117" s="281" t="str">
        <v>۱۴۰۵/۰۷/۰۶</v>
      </c>
      <c r="L117" s="281" t="str">
        <v>۱۴۰۵/۰۷/۰۷</v>
      </c>
      <c r="M117" s="281" t="str">
        <v>۱۴۰۵/۰۷/۰۹</v>
      </c>
      <c r="N117" s="281" t="str">
        <v>۱۴۰۵/۰۷/۱۳</v>
      </c>
      <c r="O117" s="281" t="str">
        <v>۱۴۰۵/۰۷/۲۰</v>
      </c>
      <c r="P117" s="281" t="str">
        <v>تثبیت نهایی</v>
      </c>
      <c r="Q117" s="411"/>
      <c r="R117" s="687" t="n">
        <v>1</v>
      </c>
      <c r="S117" s="687"/>
      <c r="T117" s="412"/>
      <c r="U117" s="412"/>
      <c r="V117" s="412"/>
      <c r="W117" s="687" t="str">
        <v>0</v>
      </c>
      <c r="X117" s="412" t="str">
        <v>خیر</v>
      </c>
      <c r="Y117" s="413" t="str">
        <v>خیر</v>
      </c>
      <c r="Z117" s="430" t="str">
        <f>IF(AM117="","",IF(AM117&gt;AO117,"تثبیت نهایی",IFERROR(INDEX('برنامه خرد'!$A$2:$A$82,MATCH(AM117,'برنامه خرد'!$I$2:$I$82,0)),"تثبیت نهایی")))</f>
        <v>۱۴۰۵/۰۷/۰۸</v>
      </c>
      <c r="AA117" s="431" t="str">
        <v>۱۴۰۵/۰۷/۰۸</v>
      </c>
      <c r="AB117" s="690" t="n">
        <f>IF(AM117="","",AM117-AN117)</f>
        <v>0</v>
      </c>
      <c r="AC117" s="431" t="str">
        <f>IF(AM117="","فاقد داده",IF(AM117&gt;AO117,"انتقال به تثبیت نهایی",IF(AM117&lt;TODAY(),"عقب‌افتاده",IF(AM117=TODAY(),"سررسید امروز","آینده"))))</f>
        <v>آینده</v>
      </c>
      <c r="AD117" s="432" t="str">
        <f>IF(OR(AM117&gt;AO117,Z117="تثبیت نهایی"),"بله","خیر")</f>
        <v>خیر</v>
      </c>
      <c r="AE117" s="436" t="str">
        <v>این فرمول فقط تاریخ پیشنهادی را محاسبه می‌کند و ردیف‌های برنامهٔ روزانه را خودکار جابه‌جا نمی‌کند.</v>
      </c>
      <c r="AF117" s="1423" t="n">
        <v>46293</v>
      </c>
      <c r="AG117" s="1423" t="n">
        <v>46294</v>
      </c>
      <c r="AH117" s="1423" t="n">
        <v>46296</v>
      </c>
      <c r="AI117" s="1423" t="n">
        <v>46300</v>
      </c>
      <c r="AJ117" s="1423" t="n">
        <v>46307</v>
      </c>
      <c r="AK117" s="1423" t="n">
        <v>46321</v>
      </c>
      <c r="AL117" s="1423" t="str">
        <f>IFERROR(INDEX('برنامه خرد'!$I$2:$I$82,MATCH(Q117,'برنامه خرد'!$A$2:$A$82,0)),"")</f>
      </c>
      <c r="AM117" s="1423" t="n">
        <f>IF(AL117="",AN117,IF(T117="غلط یا کمتر از ۵۰٪",AL117+1,IF(T117="ناقص یا همراه با حدس",AL117+2,IF(T117="درست ولی کند و مردد",AL117+4,IF(T117="درست، سریع و کامل",IF(W117&gt;=2,AL117+IF(R117&lt;14,14,28),AL117+MIN(28,MAX(3,R117*2))),AN117)))))</f>
        <v>46295</v>
      </c>
      <c r="AN117" s="1423" t="n">
        <v>46295</v>
      </c>
      <c r="AO117" s="1423" t="n">
        <v>46317</v>
      </c>
    </row>
    <row r="118" ht="38" customHeight="1">
      <c r="A118" s="366" t="str">
        <v>U117</v>
      </c>
      <c r="B118" s="367" t="str">
        <v>نظریه‌های روان‌درمانی پروچاسکا</v>
      </c>
      <c r="C118" s="367" t="str">
        <v>نظریه‌های روان‌درمانی پروچاسکا</v>
      </c>
      <c r="D118" s="367" t="str">
        <v>14</v>
      </c>
      <c r="E118" s="367" t="str">
        <v>درمان‌های چندفرهنگی</v>
      </c>
      <c r="F118" s="367" t="str">
        <v>واحد مطالعه بر اساس بازهٔ صفحه</v>
      </c>
      <c r="G118" s="367" t="str">
        <v>۶۹۱ تا ۷۰۶</v>
      </c>
      <c r="H118" s="680" t="n">
        <v>16</v>
      </c>
      <c r="I118" s="367" t="str">
        <v>۱۴۰۵/۰۷/۰۸</v>
      </c>
      <c r="J118" s="683" t="n">
        <v>51.6</v>
      </c>
      <c r="K118" s="367" t="str">
        <v>۱۴۰۵/۰۷/۰۸</v>
      </c>
      <c r="L118" s="367" t="str">
        <v>۱۴۰۵/۰۷/۰۹</v>
      </c>
      <c r="M118" s="367" t="str">
        <v>۱۴۰۵/۰۷/۱۱</v>
      </c>
      <c r="N118" s="367" t="str">
        <v>۱۴۰۵/۰۷/۱۵</v>
      </c>
      <c r="O118" s="367" t="str">
        <v>۱۴۰۵/۰۷/۲۲</v>
      </c>
      <c r="P118" s="367" t="str">
        <v>تثبیت نهایی</v>
      </c>
      <c r="Q118" s="411"/>
      <c r="R118" s="687" t="n">
        <v>1</v>
      </c>
      <c r="S118" s="687"/>
      <c r="T118" s="412"/>
      <c r="U118" s="412"/>
      <c r="V118" s="412"/>
      <c r="W118" s="687" t="str">
        <v>0</v>
      </c>
      <c r="X118" s="412" t="str">
        <v>خیر</v>
      </c>
      <c r="Y118" s="413" t="str">
        <v>خیر</v>
      </c>
      <c r="Z118" s="430" t="str">
        <f>IF(AM118="","",IF(AM118&gt;AO118,"تثبیت نهایی",IFERROR(INDEX('برنامه خرد'!$A$2:$A$82,MATCH(AM118,'برنامه خرد'!$I$2:$I$82,0)),"تثبیت نهایی")))</f>
        <v>۱۴۰۵/۰۷/۰۸</v>
      </c>
      <c r="AA118" s="431" t="str">
        <v>۱۴۰۵/۰۷/۰۸</v>
      </c>
      <c r="AB118" s="690" t="n">
        <f>IF(AM118="","",AM118-AN118)</f>
        <v>0</v>
      </c>
      <c r="AC118" s="431" t="str">
        <f>IF(AM118="","فاقد داده",IF(AM118&gt;AO118,"انتقال به تثبیت نهایی",IF(AM118&lt;TODAY(),"عقب‌افتاده",IF(AM118=TODAY(),"سررسید امروز","آینده"))))</f>
        <v>آینده</v>
      </c>
      <c r="AD118" s="432" t="str">
        <f>IF(OR(AM118&gt;AO118,Z118="تثبیت نهایی"),"بله","خیر")</f>
        <v>خیر</v>
      </c>
      <c r="AE118" s="436" t="str">
        <v>این فرمول فقط تاریخ پیشنهادی را محاسبه می‌کند و ردیف‌های برنامهٔ روزانه را خودکار جابه‌جا نمی‌کند.</v>
      </c>
      <c r="AF118" s="1423" t="n">
        <v>46295</v>
      </c>
      <c r="AG118" s="1423" t="n">
        <v>46296</v>
      </c>
      <c r="AH118" s="1423" t="n">
        <v>46298</v>
      </c>
      <c r="AI118" s="1423" t="n">
        <v>46302</v>
      </c>
      <c r="AJ118" s="1423" t="n">
        <v>46309</v>
      </c>
      <c r="AK118" s="1423" t="n">
        <v>46323</v>
      </c>
      <c r="AL118" s="1423" t="str">
        <f>IFERROR(INDEX('برنامه خرد'!$I$2:$I$82,MATCH(Q118,'برنامه خرد'!$A$2:$A$82,0)),"")</f>
      </c>
      <c r="AM118" s="1423" t="n">
        <f>IF(AL118="",AN118,IF(T118="غلط یا کمتر از ۵۰٪",AL118+1,IF(T118="ناقص یا همراه با حدس",AL118+2,IF(T118="درست ولی کند و مردد",AL118+4,IF(T118="درست، سریع و کامل",IF(W118&gt;=2,AL118+IF(R118&lt;14,14,28),AL118+MIN(28,MAX(3,R118*2))),AN118)))))</f>
        <v>46295</v>
      </c>
      <c r="AN118" s="1423" t="n">
        <v>46295</v>
      </c>
      <c r="AO118" s="1423" t="n">
        <v>46317</v>
      </c>
    </row>
    <row r="119" ht="38" customHeight="1">
      <c r="A119" s="280" t="str">
        <v>U118</v>
      </c>
      <c r="B119" s="281" t="str">
        <v>نظریه‌های روان‌درمانی پروچاسکا</v>
      </c>
      <c r="C119" s="281" t="str">
        <v>نظریه‌های روان‌درمانی پروچاسکا</v>
      </c>
      <c r="D119" s="281" t="str">
        <v>15</v>
      </c>
      <c r="E119" s="281" t="str">
        <v>درمان‌های سازه‌نگر: درمان متمرکز بر راه‌حل و قصه‌درمانی</v>
      </c>
      <c r="F119" s="281" t="str">
        <v>واحد مطالعه بر اساس بازهٔ صفحه</v>
      </c>
      <c r="G119" s="281" t="str">
        <v>۷۰۷ تا ۷۱۷</v>
      </c>
      <c r="H119" s="681" t="n">
        <v>11</v>
      </c>
      <c r="I119" s="281" t="str">
        <v>۱۴۰۵/۰۷/۰۸</v>
      </c>
      <c r="J119" s="684" t="n">
        <v>35.4</v>
      </c>
      <c r="K119" s="281" t="str">
        <v>۱۴۰۵/۰۷/۰۸</v>
      </c>
      <c r="L119" s="281" t="str">
        <v>۱۴۰۵/۰۷/۰۹</v>
      </c>
      <c r="M119" s="281" t="str">
        <v>۱۴۰۵/۰۷/۱۱</v>
      </c>
      <c r="N119" s="281" t="str">
        <v>۱۴۰۵/۰۷/۱۵</v>
      </c>
      <c r="O119" s="281" t="str">
        <v>۱۴۰۵/۰۷/۲۲</v>
      </c>
      <c r="P119" s="281" t="str">
        <v>تثبیت نهایی</v>
      </c>
      <c r="Q119" s="411"/>
      <c r="R119" s="687" t="n">
        <v>1</v>
      </c>
      <c r="S119" s="687"/>
      <c r="T119" s="412"/>
      <c r="U119" s="412"/>
      <c r="V119" s="412"/>
      <c r="W119" s="687" t="str">
        <v>0</v>
      </c>
      <c r="X119" s="412" t="str">
        <v>خیر</v>
      </c>
      <c r="Y119" s="413" t="str">
        <v>خیر</v>
      </c>
      <c r="Z119" s="430" t="str">
        <f>IF(AM119="","",IF(AM119&gt;AO119,"تثبیت نهایی",IFERROR(INDEX('برنامه خرد'!$A$2:$A$82,MATCH(AM119,'برنامه خرد'!$I$2:$I$82,0)),"تثبیت نهایی")))</f>
        <v>۱۴۰۵/۰۷/۰۸</v>
      </c>
      <c r="AA119" s="431" t="str">
        <v>۱۴۰۵/۰۷/۰۸</v>
      </c>
      <c r="AB119" s="690" t="n">
        <f>IF(AM119="","",AM119-AN119)</f>
        <v>0</v>
      </c>
      <c r="AC119" s="431" t="str">
        <f>IF(AM119="","فاقد داده",IF(AM119&gt;AO119,"انتقال به تثبیت نهایی",IF(AM119&lt;TODAY(),"عقب‌افتاده",IF(AM119=TODAY(),"سررسید امروز","آینده"))))</f>
        <v>آینده</v>
      </c>
      <c r="AD119" s="432" t="str">
        <f>IF(OR(AM119&gt;AO119,Z119="تثبیت نهایی"),"بله","خیر")</f>
        <v>خیر</v>
      </c>
      <c r="AE119" s="436" t="str">
        <v>این فرمول فقط تاریخ پیشنهادی را محاسبه می‌کند و ردیف‌های برنامهٔ روزانه را خودکار جابه‌جا نمی‌کند.</v>
      </c>
      <c r="AF119" s="1423" t="n">
        <v>46295</v>
      </c>
      <c r="AG119" s="1423" t="n">
        <v>46296</v>
      </c>
      <c r="AH119" s="1423" t="n">
        <v>46298</v>
      </c>
      <c r="AI119" s="1423" t="n">
        <v>46302</v>
      </c>
      <c r="AJ119" s="1423" t="n">
        <v>46309</v>
      </c>
      <c r="AK119" s="1423" t="n">
        <v>46323</v>
      </c>
      <c r="AL119" s="1423" t="str">
        <f>IFERROR(INDEX('برنامه خرد'!$I$2:$I$82,MATCH(Q119,'برنامه خرد'!$A$2:$A$82,0)),"")</f>
      </c>
      <c r="AM119" s="1423" t="n">
        <f>IF(AL119="",AN119,IF(T119="غلط یا کمتر از ۵۰٪",AL119+1,IF(T119="ناقص یا همراه با حدس",AL119+2,IF(T119="درست ولی کند و مردد",AL119+4,IF(T119="درست، سریع و کامل",IF(W119&gt;=2,AL119+IF(R119&lt;14,14,28),AL119+MIN(28,MAX(3,R119*2))),AN119)))))</f>
        <v>46295</v>
      </c>
      <c r="AN119" s="1423" t="n">
        <v>46295</v>
      </c>
      <c r="AO119" s="1423" t="n">
        <v>46317</v>
      </c>
    </row>
    <row r="120" ht="38" customHeight="1">
      <c r="A120" s="366" t="str">
        <v>U119</v>
      </c>
      <c r="B120" s="367" t="str">
        <v>نظریه‌های روان‌درمانی پروچاسکا</v>
      </c>
      <c r="C120" s="367" t="str">
        <v>نظریه‌های روان‌درمانی پروچاسکا</v>
      </c>
      <c r="D120" s="367" t="str">
        <v>15</v>
      </c>
      <c r="E120" s="367" t="str">
        <v>درمان‌های سازه‌نگر: درمان متمرکز بر راه‌حل و قصه‌درمانی</v>
      </c>
      <c r="F120" s="367" t="str">
        <v>واحد مطالعه بر اساس بازهٔ صفحه</v>
      </c>
      <c r="G120" s="367" t="str">
        <v>۷۱۸ تا ۷۴۲</v>
      </c>
      <c r="H120" s="680" t="n">
        <v>25</v>
      </c>
      <c r="I120" s="367" t="str">
        <v>۱۴۰۵/۰۷/۱۱</v>
      </c>
      <c r="J120" s="683" t="n">
        <v>80.6</v>
      </c>
      <c r="K120" s="367" t="str">
        <v>۱۴۰۵/۰۷/۱۱</v>
      </c>
      <c r="L120" s="367" t="str">
        <v>۱۴۰۵/۰۷/۱۲</v>
      </c>
      <c r="M120" s="367" t="str">
        <v>۱۴۰۵/۰۷/۱۴</v>
      </c>
      <c r="N120" s="367" t="str">
        <v>۱۴۰۵/۰۷/۱۸</v>
      </c>
      <c r="O120" s="367" t="str">
        <v>۱۴۰۵/۰۷/۲۵</v>
      </c>
      <c r="P120" s="367" t="str">
        <v>تثبیت نهایی</v>
      </c>
      <c r="Q120" s="411"/>
      <c r="R120" s="687" t="n">
        <v>1</v>
      </c>
      <c r="S120" s="687"/>
      <c r="T120" s="412"/>
      <c r="U120" s="412"/>
      <c r="V120" s="412"/>
      <c r="W120" s="687" t="str">
        <v>0</v>
      </c>
      <c r="X120" s="412" t="str">
        <v>خیر</v>
      </c>
      <c r="Y120" s="413" t="str">
        <v>خیر</v>
      </c>
      <c r="Z120" s="430" t="str">
        <f>IF(AM120="","",IF(AM120&gt;AO120,"تثبیت نهایی",IFERROR(INDEX('برنامه خرد'!$A$2:$A$82,MATCH(AM120,'برنامه خرد'!$I$2:$I$82,0)),"تثبیت نهایی")))</f>
        <v>۱۴۰۵/۰۷/۱۳</v>
      </c>
      <c r="AA120" s="431" t="str">
        <v>۱۴۰۵/۰۷/۱۳</v>
      </c>
      <c r="AB120" s="690" t="n">
        <f>IF(AM120="","",AM120-AN120)</f>
        <v>0</v>
      </c>
      <c r="AC120" s="431" t="str">
        <f>IF(AM120="","فاقد داده",IF(AM120&gt;AO120,"انتقال به تثبیت نهایی",IF(AM120&lt;TODAY(),"عقب‌افتاده",IF(AM120=TODAY(),"سررسید امروز","آینده"))))</f>
        <v>آینده</v>
      </c>
      <c r="AD120" s="432" t="str">
        <f>IF(OR(AM120&gt;AO120,Z120="تثبیت نهایی"),"بله","خیر")</f>
        <v>خیر</v>
      </c>
      <c r="AE120" s="436" t="str">
        <v>این فرمول فقط تاریخ پیشنهادی را محاسبه می‌کند و ردیف‌های برنامهٔ روزانه را خودکار جابه‌جا نمی‌کند.</v>
      </c>
      <c r="AF120" s="1423" t="n">
        <v>46298</v>
      </c>
      <c r="AG120" s="1423" t="n">
        <v>46299</v>
      </c>
      <c r="AH120" s="1423" t="n">
        <v>46301</v>
      </c>
      <c r="AI120" s="1423" t="n">
        <v>46305</v>
      </c>
      <c r="AJ120" s="1423" t="n">
        <v>46312</v>
      </c>
      <c r="AK120" s="1423" t="n">
        <v>46326</v>
      </c>
      <c r="AL120" s="1423" t="str">
        <f>IFERROR(INDEX('برنامه خرد'!$I$2:$I$82,MATCH(Q120,'برنامه خرد'!$A$2:$A$82,0)),"")</f>
      </c>
      <c r="AM120" s="1423" t="n">
        <f>IF(AL120="",AN120,IF(T120="غلط یا کمتر از ۵۰٪",AL120+1,IF(T120="ناقص یا همراه با حدس",AL120+2,IF(T120="درست ولی کند و مردد",AL120+4,IF(T120="درست، سریع و کامل",IF(W120&gt;=2,AL120+IF(R120&lt;14,14,28),AL120+MIN(28,MAX(3,R120*2))),AN120)))))</f>
        <v>46300</v>
      </c>
      <c r="AN120" s="1423" t="n">
        <v>46300</v>
      </c>
      <c r="AO120" s="1423" t="n">
        <v>46317</v>
      </c>
    </row>
    <row r="121" ht="38" customHeight="1">
      <c r="A121" s="280" t="str">
        <v>U120</v>
      </c>
      <c r="B121" s="281" t="str">
        <v>نظریه‌های روان‌درمانی پروچاسکا</v>
      </c>
      <c r="C121" s="281" t="str">
        <v>نظریه‌های روان‌درمانی پروچاسکا</v>
      </c>
      <c r="D121" s="281" t="str">
        <v>16</v>
      </c>
      <c r="E121" s="281" t="str">
        <v>درمان‌های یکپارچه‌نگر</v>
      </c>
      <c r="F121" s="281" t="str">
        <v>واحد مطالعه بر اساس بازهٔ صفحه</v>
      </c>
      <c r="G121" s="281" t="str">
        <v>۷۴۳ تا ۷۴۴</v>
      </c>
      <c r="H121" s="681" t="n">
        <v>2</v>
      </c>
      <c r="I121" s="281" t="str">
        <v>۱۴۰۵/۰۷/۱۱</v>
      </c>
      <c r="J121" s="684" t="n">
        <v>6.4</v>
      </c>
      <c r="K121" s="281" t="str">
        <v>۱۴۰۵/۰۷/۱۱</v>
      </c>
      <c r="L121" s="281" t="str">
        <v>۱۴۰۵/۰۷/۱۲</v>
      </c>
      <c r="M121" s="281" t="str">
        <v>۱۴۰۵/۰۷/۱۴</v>
      </c>
      <c r="N121" s="281" t="str">
        <v>۱۴۰۵/۰۷/۱۸</v>
      </c>
      <c r="O121" s="281" t="str">
        <v>۱۴۰۵/۰۷/۲۵</v>
      </c>
      <c r="P121" s="281" t="str">
        <v>تثبیت نهایی</v>
      </c>
      <c r="Q121" s="411"/>
      <c r="R121" s="687" t="n">
        <v>1</v>
      </c>
      <c r="S121" s="687"/>
      <c r="T121" s="412"/>
      <c r="U121" s="412"/>
      <c r="V121" s="412"/>
      <c r="W121" s="687" t="str">
        <v>0</v>
      </c>
      <c r="X121" s="412" t="str">
        <v>خیر</v>
      </c>
      <c r="Y121" s="413" t="str">
        <v>خیر</v>
      </c>
      <c r="Z121" s="430" t="str">
        <f>IF(AM121="","",IF(AM121&gt;AO121,"تثبیت نهایی",IFERROR(INDEX('برنامه خرد'!$A$2:$A$82,MATCH(AM121,'برنامه خرد'!$I$2:$I$82,0)),"تثبیت نهایی")))</f>
        <v>۱۴۰۵/۰۷/۱۳</v>
      </c>
      <c r="AA121" s="431" t="str">
        <v>۱۴۰۵/۰۷/۱۳</v>
      </c>
      <c r="AB121" s="690" t="n">
        <f>IF(AM121="","",AM121-AN121)</f>
        <v>0</v>
      </c>
      <c r="AC121" s="431" t="str">
        <f>IF(AM121="","فاقد داده",IF(AM121&gt;AO121,"انتقال به تثبیت نهایی",IF(AM121&lt;TODAY(),"عقب‌افتاده",IF(AM121=TODAY(),"سررسید امروز","آینده"))))</f>
        <v>آینده</v>
      </c>
      <c r="AD121" s="432" t="str">
        <f>IF(OR(AM121&gt;AO121,Z121="تثبیت نهایی"),"بله","خیر")</f>
        <v>خیر</v>
      </c>
      <c r="AE121" s="436" t="str">
        <v>این فرمول فقط تاریخ پیشنهادی را محاسبه می‌کند و ردیف‌های برنامهٔ روزانه را خودکار جابه‌جا نمی‌کند.</v>
      </c>
      <c r="AF121" s="1423" t="n">
        <v>46298</v>
      </c>
      <c r="AG121" s="1423" t="n">
        <v>46299</v>
      </c>
      <c r="AH121" s="1423" t="n">
        <v>46301</v>
      </c>
      <c r="AI121" s="1423" t="n">
        <v>46305</v>
      </c>
      <c r="AJ121" s="1423" t="n">
        <v>46312</v>
      </c>
      <c r="AK121" s="1423" t="n">
        <v>46326</v>
      </c>
      <c r="AL121" s="1423" t="str">
        <f>IFERROR(INDEX('برنامه خرد'!$I$2:$I$82,MATCH(Q121,'برنامه خرد'!$A$2:$A$82,0)),"")</f>
      </c>
      <c r="AM121" s="1423" t="n">
        <f>IF(AL121="",AN121,IF(T121="غلط یا کمتر از ۵۰٪",AL121+1,IF(T121="ناقص یا همراه با حدس",AL121+2,IF(T121="درست ولی کند و مردد",AL121+4,IF(T121="درست، سریع و کامل",IF(W121&gt;=2,AL121+IF(R121&lt;14,14,28),AL121+MIN(28,MAX(3,R121*2))),AN121)))))</f>
        <v>46300</v>
      </c>
      <c r="AN121" s="1423" t="n">
        <v>46300</v>
      </c>
      <c r="AO121" s="1423" t="n">
        <v>46317</v>
      </c>
    </row>
    <row r="122" ht="38" customHeight="1">
      <c r="A122" s="366" t="str">
        <v>U121</v>
      </c>
      <c r="B122" s="367" t="str">
        <v>نظریه‌های روان‌درمانی پروچاسکا</v>
      </c>
      <c r="C122" s="367" t="str">
        <v>نظریه‌های روان‌درمانی پروچاسکا</v>
      </c>
      <c r="D122" s="367" t="str">
        <v>16</v>
      </c>
      <c r="E122" s="367" t="str">
        <v>درمان‌های یکپارچه‌نگر</v>
      </c>
      <c r="F122" s="367" t="str">
        <v>واحد مطالعه بر اساس بازهٔ صفحه</v>
      </c>
      <c r="G122" s="367" t="str">
        <v>۷۴۵ تا ۷۷۱</v>
      </c>
      <c r="H122" s="680" t="n">
        <v>27</v>
      </c>
      <c r="I122" s="367" t="str">
        <v>۱۴۰۵/۰۷/۱۳</v>
      </c>
      <c r="J122" s="683" t="n">
        <v>87</v>
      </c>
      <c r="K122" s="367" t="str">
        <v>۱۴۰۵/۰۷/۱۳</v>
      </c>
      <c r="L122" s="367" t="str">
        <v>۱۴۰۵/۰۷/۱۴</v>
      </c>
      <c r="M122" s="367" t="str">
        <v>۱۴۰۵/۰۷/۱۶</v>
      </c>
      <c r="N122" s="367" t="str">
        <v>۱۴۰۵/۰۷/۲۰</v>
      </c>
      <c r="O122" s="367" t="str">
        <v>۱۴۰۵/۰۷/۲۷</v>
      </c>
      <c r="P122" s="367" t="str">
        <v>تثبیت نهایی</v>
      </c>
      <c r="Q122" s="411"/>
      <c r="R122" s="687" t="n">
        <v>1</v>
      </c>
      <c r="S122" s="687"/>
      <c r="T122" s="412"/>
      <c r="U122" s="412"/>
      <c r="V122" s="412"/>
      <c r="W122" s="687" t="str">
        <v>0</v>
      </c>
      <c r="X122" s="412" t="str">
        <v>خیر</v>
      </c>
      <c r="Y122" s="413" t="str">
        <v>خیر</v>
      </c>
      <c r="Z122" s="430" t="str">
        <f>IF(AM122="","",IF(AM122&gt;AO122,"تثبیت نهایی",IFERROR(INDEX('برنامه خرد'!$A$2:$A$82,MATCH(AM122,'برنامه خرد'!$I$2:$I$82,0)),"تثبیت نهایی")))</f>
        <v>۱۴۰۵/۰۷/۱۵</v>
      </c>
      <c r="AA122" s="431" t="str">
        <v>۱۴۰۵/۰۷/۱۵</v>
      </c>
      <c r="AB122" s="690" t="n">
        <f>IF(AM122="","",AM122-AN122)</f>
        <v>0</v>
      </c>
      <c r="AC122" s="431" t="str">
        <f>IF(AM122="","فاقد داده",IF(AM122&gt;AO122,"انتقال به تثبیت نهایی",IF(AM122&lt;TODAY(),"عقب‌افتاده",IF(AM122=TODAY(),"سررسید امروز","آینده"))))</f>
        <v>آینده</v>
      </c>
      <c r="AD122" s="432" t="str">
        <f>IF(OR(AM122&gt;AO122,Z122="تثبیت نهایی"),"بله","خیر")</f>
        <v>خیر</v>
      </c>
      <c r="AE122" s="436" t="str">
        <v>این فرمول فقط تاریخ پیشنهادی را محاسبه می‌کند و ردیف‌های برنامهٔ روزانه را خودکار جابه‌جا نمی‌کند.</v>
      </c>
      <c r="AF122" s="1423" t="n">
        <v>46300</v>
      </c>
      <c r="AG122" s="1423" t="n">
        <v>46301</v>
      </c>
      <c r="AH122" s="1423" t="n">
        <v>46303</v>
      </c>
      <c r="AI122" s="1423" t="n">
        <v>46307</v>
      </c>
      <c r="AJ122" s="1423" t="n">
        <v>46314</v>
      </c>
      <c r="AK122" s="1423" t="n">
        <v>46328</v>
      </c>
      <c r="AL122" s="1423" t="str">
        <f>IFERROR(INDEX('برنامه خرد'!$I$2:$I$82,MATCH(Q122,'برنامه خرد'!$A$2:$A$82,0)),"")</f>
      </c>
      <c r="AM122" s="1423" t="n">
        <f>IF(AL122="",AN122,IF(T122="غلط یا کمتر از ۵۰٪",AL122+1,IF(T122="ناقص یا همراه با حدس",AL122+2,IF(T122="درست ولی کند و مردد",AL122+4,IF(T122="درست، سریع و کامل",IF(W122&gt;=2,AL122+IF(R122&lt;14,14,28),AL122+MIN(28,MAX(3,R122*2))),AN122)))))</f>
        <v>46302</v>
      </c>
      <c r="AN122" s="1423" t="n">
        <v>46302</v>
      </c>
      <c r="AO122" s="1423" t="n">
        <v>46317</v>
      </c>
    </row>
    <row r="123" ht="38" customHeight="1">
      <c r="A123" s="280" t="str">
        <v>U122</v>
      </c>
      <c r="B123" s="281" t="str">
        <v>نظریه‌های روان‌درمانی پروچاسکا</v>
      </c>
      <c r="C123" s="281" t="str">
        <v>نظریه‌های روان‌درمانی پروچاسکا</v>
      </c>
      <c r="D123" s="281" t="str">
        <v>16</v>
      </c>
      <c r="E123" s="281" t="str">
        <v>درمان‌های یکپارچه‌نگر</v>
      </c>
      <c r="F123" s="281" t="str">
        <v>واحد مطالعه بر اساس بازهٔ صفحه</v>
      </c>
      <c r="G123" s="281" t="str">
        <v>۷۷۲ تا ۷۸۸</v>
      </c>
      <c r="H123" s="681" t="n">
        <v>17</v>
      </c>
      <c r="I123" s="281" t="str">
        <v>۱۴۰۵/۰۷/۱۵</v>
      </c>
      <c r="J123" s="684" t="n">
        <v>54.8</v>
      </c>
      <c r="K123" s="281" t="str">
        <v>۱۴۰۵/۰۷/۱۵</v>
      </c>
      <c r="L123" s="281" t="str">
        <v>۱۴۰۵/۰۷/۱۶</v>
      </c>
      <c r="M123" s="281" t="str">
        <v>۱۴۰۵/۰۷/۱۸</v>
      </c>
      <c r="N123" s="281" t="str">
        <v>۱۴۰۵/۰۷/۲۲</v>
      </c>
      <c r="O123" s="281" t="str">
        <v>۱۴۰۵/۰۷/۲۹</v>
      </c>
      <c r="P123" s="281" t="str">
        <v>تثبیت نهایی</v>
      </c>
      <c r="Q123" s="411"/>
      <c r="R123" s="687" t="n">
        <v>1</v>
      </c>
      <c r="S123" s="687"/>
      <c r="T123" s="412"/>
      <c r="U123" s="412"/>
      <c r="V123" s="412"/>
      <c r="W123" s="687" t="str">
        <v>0</v>
      </c>
      <c r="X123" s="412" t="str">
        <v>خیر</v>
      </c>
      <c r="Y123" s="413" t="str">
        <v>خیر</v>
      </c>
      <c r="Z123" s="430" t="str">
        <f>IF(AM123="","",IF(AM123&gt;AO123,"تثبیت نهایی",IFERROR(INDEX('برنامه خرد'!$A$2:$A$82,MATCH(AM123,'برنامه خرد'!$I$2:$I$82,0)),"تثبیت نهایی")))</f>
        <v>۱۴۰۵/۰۷/۱۵</v>
      </c>
      <c r="AA123" s="431" t="str">
        <v>۱۴۰۵/۰۷/۱۵</v>
      </c>
      <c r="AB123" s="690" t="n">
        <f>IF(AM123="","",AM123-AN123)</f>
        <v>0</v>
      </c>
      <c r="AC123" s="431" t="str">
        <f>IF(AM123="","فاقد داده",IF(AM123&gt;AO123,"انتقال به تثبیت نهایی",IF(AM123&lt;TODAY(),"عقب‌افتاده",IF(AM123=TODAY(),"سررسید امروز","آینده"))))</f>
        <v>آینده</v>
      </c>
      <c r="AD123" s="432" t="str">
        <f>IF(OR(AM123&gt;AO123,Z123="تثبیت نهایی"),"بله","خیر")</f>
        <v>خیر</v>
      </c>
      <c r="AE123" s="436" t="str">
        <v>این فرمول فقط تاریخ پیشنهادی را محاسبه می‌کند و ردیف‌های برنامهٔ روزانه را خودکار جابه‌جا نمی‌کند.</v>
      </c>
      <c r="AF123" s="1423" t="n">
        <v>46302</v>
      </c>
      <c r="AG123" s="1423" t="n">
        <v>46303</v>
      </c>
      <c r="AH123" s="1423" t="n">
        <v>46305</v>
      </c>
      <c r="AI123" s="1423" t="n">
        <v>46309</v>
      </c>
      <c r="AJ123" s="1423" t="n">
        <v>46316</v>
      </c>
      <c r="AK123" s="1423" t="n">
        <v>46330</v>
      </c>
      <c r="AL123" s="1423" t="str">
        <f>IFERROR(INDEX('برنامه خرد'!$I$2:$I$82,MATCH(Q123,'برنامه خرد'!$A$2:$A$82,0)),"")</f>
      </c>
      <c r="AM123" s="1423" t="n">
        <f>IF(AL123="",AN123,IF(T123="غلط یا کمتر از ۵۰٪",AL123+1,IF(T123="ناقص یا همراه با حدس",AL123+2,IF(T123="درست ولی کند و مردد",AL123+4,IF(T123="درست، سریع و کامل",IF(W123&gt;=2,AL123+IF(R123&lt;14,14,28),AL123+MIN(28,MAX(3,R123*2))),AN123)))))</f>
        <v>46302</v>
      </c>
      <c r="AN123" s="1423" t="n">
        <v>46302</v>
      </c>
      <c r="AO123" s="1423" t="n">
        <v>46317</v>
      </c>
    </row>
    <row r="124" ht="38" customHeight="1">
      <c r="A124" s="366" t="str">
        <v>U123</v>
      </c>
      <c r="B124" s="367" t="str">
        <v>نظریه‌های روان‌درمانی پروچاسکا</v>
      </c>
      <c r="C124" s="367" t="str">
        <v>نظریه‌های روان‌درمانی پروچاسکا</v>
      </c>
      <c r="D124" s="367" t="str">
        <v>17</v>
      </c>
      <c r="E124" s="367" t="str">
        <v>نتیجه‌گیری‌های مقایسه‌ای: به‌سوی درمان بین‌نظری</v>
      </c>
      <c r="F124" s="367" t="str">
        <v>واحد مطالعه بر اساس بازهٔ صفحه</v>
      </c>
      <c r="G124" s="367" t="str">
        <v>۷۸۹ تا ۷۹۸</v>
      </c>
      <c r="H124" s="680" t="n">
        <v>10</v>
      </c>
      <c r="I124" s="367" t="str">
        <v>۱۴۰۵/۰۷/۱۵</v>
      </c>
      <c r="J124" s="683" t="n">
        <v>32.2</v>
      </c>
      <c r="K124" s="367" t="str">
        <v>۱۴۰۵/۰۷/۱۵</v>
      </c>
      <c r="L124" s="367" t="str">
        <v>۱۴۰۵/۰۷/۱۶</v>
      </c>
      <c r="M124" s="367" t="str">
        <v>۱۴۰۵/۰۷/۱۸</v>
      </c>
      <c r="N124" s="367" t="str">
        <v>۱۴۰۵/۰۷/۲۲</v>
      </c>
      <c r="O124" s="367" t="str">
        <v>۱۴۰۵/۰۷/۲۹</v>
      </c>
      <c r="P124" s="367" t="str">
        <v>تثبیت نهایی</v>
      </c>
      <c r="Q124" s="411"/>
      <c r="R124" s="687" t="n">
        <v>1</v>
      </c>
      <c r="S124" s="687"/>
      <c r="T124" s="412"/>
      <c r="U124" s="412"/>
      <c r="V124" s="412"/>
      <c r="W124" s="687" t="str">
        <v>0</v>
      </c>
      <c r="X124" s="412" t="str">
        <v>خیر</v>
      </c>
      <c r="Y124" s="413" t="str">
        <v>خیر</v>
      </c>
      <c r="Z124" s="430" t="str">
        <f>IF(AM124="","",IF(AM124&gt;AO124,"تثبیت نهایی",IFERROR(INDEX('برنامه خرد'!$A$2:$A$82,MATCH(AM124,'برنامه خرد'!$I$2:$I$82,0)),"تثبیت نهایی")))</f>
        <v>۱۴۰۵/۰۷/۱۵</v>
      </c>
      <c r="AA124" s="431" t="str">
        <v>۱۴۰۵/۰۷/۱۵</v>
      </c>
      <c r="AB124" s="690" t="n">
        <f>IF(AM124="","",AM124-AN124)</f>
        <v>0</v>
      </c>
      <c r="AC124" s="431" t="str">
        <f>IF(AM124="","فاقد داده",IF(AM124&gt;AO124,"انتقال به تثبیت نهایی",IF(AM124&lt;TODAY(),"عقب‌افتاده",IF(AM124=TODAY(),"سررسید امروز","آینده"))))</f>
        <v>آینده</v>
      </c>
      <c r="AD124" s="432" t="str">
        <f>IF(OR(AM124&gt;AO124,Z124="تثبیت نهایی"),"بله","خیر")</f>
        <v>خیر</v>
      </c>
      <c r="AE124" s="436" t="str">
        <v>این فرمول فقط تاریخ پیشنهادی را محاسبه می‌کند و ردیف‌های برنامهٔ روزانه را خودکار جابه‌جا نمی‌کند.</v>
      </c>
      <c r="AF124" s="1423" t="n">
        <v>46302</v>
      </c>
      <c r="AG124" s="1423" t="n">
        <v>46303</v>
      </c>
      <c r="AH124" s="1423" t="n">
        <v>46305</v>
      </c>
      <c r="AI124" s="1423" t="n">
        <v>46309</v>
      </c>
      <c r="AJ124" s="1423" t="n">
        <v>46316</v>
      </c>
      <c r="AK124" s="1423" t="n">
        <v>46330</v>
      </c>
      <c r="AL124" s="1423" t="str">
        <f>IFERROR(INDEX('برنامه خرد'!$I$2:$I$82,MATCH(Q124,'برنامه خرد'!$A$2:$A$82,0)),"")</f>
      </c>
      <c r="AM124" s="1423" t="n">
        <f>IF(AL124="",AN124,IF(T124="غلط یا کمتر از ۵۰٪",AL124+1,IF(T124="ناقص یا همراه با حدس",AL124+2,IF(T124="درست ولی کند و مردد",AL124+4,IF(T124="درست، سریع و کامل",IF(W124&gt;=2,AL124+IF(R124&lt;14,14,28),AL124+MIN(28,MAX(3,R124*2))),AN124)))))</f>
        <v>46302</v>
      </c>
      <c r="AN124" s="1423" t="n">
        <v>46302</v>
      </c>
      <c r="AO124" s="1423" t="n">
        <v>46317</v>
      </c>
    </row>
    <row r="125" ht="38" customHeight="1">
      <c r="A125" s="280" t="str">
        <v>U124</v>
      </c>
      <c r="B125" s="281" t="str">
        <v>نظریه‌های روان‌درمانی پروچاسکا</v>
      </c>
      <c r="C125" s="281" t="str">
        <v>نظریه‌های روان‌درمانی پروچاسکا</v>
      </c>
      <c r="D125" s="281" t="str">
        <v>17</v>
      </c>
      <c r="E125" s="281" t="str">
        <v>نتیجه‌گیری‌های مقایسه‌ای: به‌سوی درمان بین‌نظری</v>
      </c>
      <c r="F125" s="281" t="str">
        <v>واحد مطالعه بر اساس بازهٔ صفحه</v>
      </c>
      <c r="G125" s="281" t="str">
        <v>۷۹۹ تا ۸۲۵</v>
      </c>
      <c r="H125" s="681" t="n">
        <v>27</v>
      </c>
      <c r="I125" s="281" t="str">
        <v>۱۴۰۵/۰۷/۱۸</v>
      </c>
      <c r="J125" s="684" t="n">
        <v>87</v>
      </c>
      <c r="K125" s="281" t="str">
        <v>۱۴۰۵/۰۷/۱۸</v>
      </c>
      <c r="L125" s="281" t="str">
        <v>۱۴۰۵/۰۷/۱۹</v>
      </c>
      <c r="M125" s="281" t="str">
        <v>۱۴۰۵/۰۷/۲۱</v>
      </c>
      <c r="N125" s="281" t="str">
        <v>۱۴۰۵/۰۷/۲۵</v>
      </c>
      <c r="O125" s="281" t="str">
        <v>تثبیت نهایی</v>
      </c>
      <c r="P125" s="281" t="str">
        <v>تثبیت نهایی</v>
      </c>
      <c r="Q125" s="411"/>
      <c r="R125" s="687" t="n">
        <v>1</v>
      </c>
      <c r="S125" s="687"/>
      <c r="T125" s="412"/>
      <c r="U125" s="412"/>
      <c r="V125" s="412"/>
      <c r="W125" s="687" t="str">
        <v>0</v>
      </c>
      <c r="X125" s="412" t="str">
        <v>خیر</v>
      </c>
      <c r="Y125" s="413" t="str">
        <v>خیر</v>
      </c>
      <c r="Z125" s="430" t="str">
        <f>IF(AM125="","",IF(AM125&gt;AO125,"تثبیت نهایی",IFERROR(INDEX('برنامه خرد'!$A$2:$A$82,MATCH(AM125,'برنامه خرد'!$I$2:$I$82,0)),"تثبیت نهایی")))</f>
        <v>۱۴۰۵/۰۷/۲۰</v>
      </c>
      <c r="AA125" s="431" t="str">
        <v>۱۴۰۵/۰۷/۲۰</v>
      </c>
      <c r="AB125" s="690" t="n">
        <f>IF(AM125="","",AM125-AN125)</f>
        <v>0</v>
      </c>
      <c r="AC125" s="431" t="str">
        <f>IF(AM125="","فاقد داده",IF(AM125&gt;AO125,"انتقال به تثبیت نهایی",IF(AM125&lt;TODAY(),"عقب‌افتاده",IF(AM125=TODAY(),"سررسید امروز","آینده"))))</f>
        <v>آینده</v>
      </c>
      <c r="AD125" s="432" t="str">
        <f>IF(OR(AM125&gt;AO125,Z125="تثبیت نهایی"),"بله","خیر")</f>
        <v>خیر</v>
      </c>
      <c r="AE125" s="436" t="str">
        <v>این فرمول فقط تاریخ پیشنهادی را محاسبه می‌کند و ردیف‌های برنامهٔ روزانه را خودکار جابه‌جا نمی‌کند.</v>
      </c>
      <c r="AF125" s="1423" t="n">
        <v>46305</v>
      </c>
      <c r="AG125" s="1423" t="n">
        <v>46306</v>
      </c>
      <c r="AH125" s="1423" t="n">
        <v>46308</v>
      </c>
      <c r="AI125" s="1423" t="n">
        <v>46312</v>
      </c>
      <c r="AJ125" s="1423" t="n">
        <v>46319</v>
      </c>
      <c r="AK125" s="1423" t="n">
        <v>46333</v>
      </c>
      <c r="AL125" s="1423" t="str">
        <f>IFERROR(INDEX('برنامه خرد'!$I$2:$I$82,MATCH(Q125,'برنامه خرد'!$A$2:$A$82,0)),"")</f>
      </c>
      <c r="AM125" s="1423" t="n">
        <f>IF(AL125="",AN125,IF(T125="غلط یا کمتر از ۵۰٪",AL125+1,IF(T125="ناقص یا همراه با حدس",AL125+2,IF(T125="درست ولی کند و مردد",AL125+4,IF(T125="درست، سریع و کامل",IF(W125&gt;=2,AL125+IF(R125&lt;14,14,28),AL125+MIN(28,MAX(3,R125*2))),AN125)))))</f>
        <v>46307</v>
      </c>
      <c r="AN125" s="1423" t="n">
        <v>46307</v>
      </c>
      <c r="AO125" s="1423" t="n">
        <v>46317</v>
      </c>
    </row>
    <row r="126" ht="38" customHeight="1">
      <c r="A126" s="366" t="str">
        <v>U125</v>
      </c>
      <c r="B126" s="367" t="str">
        <v>نظریه‌های روان‌درمانی پروچاسکا</v>
      </c>
      <c r="C126" s="367" t="str">
        <v>نظریه‌های روان‌درمانی پروچاسکا</v>
      </c>
      <c r="D126" s="367" t="str">
        <v>17</v>
      </c>
      <c r="E126" s="367" t="str">
        <v>نتیجه‌گیری‌های مقایسه‌ای: به‌سوی درمان بین‌نظری</v>
      </c>
      <c r="F126" s="367" t="str">
        <v>واحد مطالعه بر اساس بازهٔ صفحه</v>
      </c>
      <c r="G126" s="367" t="str">
        <v>۸۲۶ تا ۸۳۴</v>
      </c>
      <c r="H126" s="680" t="n">
        <v>9</v>
      </c>
      <c r="I126" s="367" t="str">
        <v>۱۴۰۵/۰۷/۲۰</v>
      </c>
      <c r="J126" s="683" t="n">
        <v>29</v>
      </c>
      <c r="K126" s="367" t="str">
        <v>۱۴۰۵/۰۷/۲۰</v>
      </c>
      <c r="L126" s="367" t="str">
        <v>۱۴۰۵/۰۷/۲۱</v>
      </c>
      <c r="M126" s="367" t="str">
        <v>۱۴۰۵/۰۷/۲۳</v>
      </c>
      <c r="N126" s="367" t="str">
        <v>۱۴۰۵/۰۷/۲۷</v>
      </c>
      <c r="O126" s="367" t="str">
        <v>تثبیت نهایی</v>
      </c>
      <c r="P126" s="367" t="str">
        <v>تثبیت نهایی</v>
      </c>
      <c r="Q126" s="411"/>
      <c r="R126" s="687" t="n">
        <v>1</v>
      </c>
      <c r="S126" s="687"/>
      <c r="T126" s="412"/>
      <c r="U126" s="412"/>
      <c r="V126" s="412"/>
      <c r="W126" s="687" t="str">
        <v>0</v>
      </c>
      <c r="X126" s="412" t="str">
        <v>خیر</v>
      </c>
      <c r="Y126" s="413" t="str">
        <v>خیر</v>
      </c>
      <c r="Z126" s="430" t="str">
        <f>IF(AM126="","",IF(AM126&gt;AO126,"تثبیت نهایی",IFERROR(INDEX('برنامه خرد'!$A$2:$A$82,MATCH(AM126,'برنامه خرد'!$I$2:$I$82,0)),"تثبیت نهایی")))</f>
        <v>۱۴۰۵/۰۷/۲۲</v>
      </c>
      <c r="AA126" s="431" t="str">
        <v>۱۴۰۵/۰۷/۲۲</v>
      </c>
      <c r="AB126" s="690" t="n">
        <f>IF(AM126="","",AM126-AN126)</f>
        <v>0</v>
      </c>
      <c r="AC126" s="431" t="str">
        <f>IF(AM126="","فاقد داده",IF(AM126&gt;AO126,"انتقال به تثبیت نهایی",IF(AM126&lt;TODAY(),"عقب‌افتاده",IF(AM126=TODAY(),"سررسید امروز","آینده"))))</f>
        <v>آینده</v>
      </c>
      <c r="AD126" s="432" t="str">
        <f>IF(OR(AM126&gt;AO126,Z126="تثبیت نهایی"),"بله","خیر")</f>
        <v>خیر</v>
      </c>
      <c r="AE126" s="436" t="str">
        <v>این فرمول فقط تاریخ پیشنهادی را محاسبه می‌کند و ردیف‌های برنامهٔ روزانه را خودکار جابه‌جا نمی‌کند.</v>
      </c>
      <c r="AF126" s="1423" t="n">
        <v>46307</v>
      </c>
      <c r="AG126" s="1423" t="n">
        <v>46308</v>
      </c>
      <c r="AH126" s="1423" t="n">
        <v>46310</v>
      </c>
      <c r="AI126" s="1423" t="n">
        <v>46314</v>
      </c>
      <c r="AJ126" s="1423" t="n">
        <v>46321</v>
      </c>
      <c r="AK126" s="1423" t="n">
        <v>46335</v>
      </c>
      <c r="AL126" s="1423" t="str">
        <f>IFERROR(INDEX('برنامه خرد'!$I$2:$I$82,MATCH(Q126,'برنامه خرد'!$A$2:$A$82,0)),"")</f>
      </c>
      <c r="AM126" s="1423" t="n">
        <f>IF(AL126="",AN126,IF(T126="غلط یا کمتر از ۵۰٪",AL126+1,IF(T126="ناقص یا همراه با حدس",AL126+2,IF(T126="درست ولی کند و مردد",AL126+4,IF(T126="درست، سریع و کامل",IF(W126&gt;=2,AL126+IF(R126&lt;14,14,28),AL126+MIN(28,MAX(3,R126*2))),AN126)))))</f>
        <v>46309</v>
      </c>
      <c r="AN126" s="1423" t="n">
        <v>46309</v>
      </c>
      <c r="AO126" s="1423" t="n">
        <v>46317</v>
      </c>
    </row>
    <row r="127" ht="38" customHeight="1">
      <c r="A127" s="280" t="str">
        <v>U126</v>
      </c>
      <c r="B127" s="281" t="str">
        <v>نظریه‌های روان‌درمانی پروچاسکا</v>
      </c>
      <c r="C127" s="281" t="str">
        <v>نظریه‌های روان‌درمانی پروچاسکا</v>
      </c>
      <c r="D127" s="281" t="str">
        <v>18</v>
      </c>
      <c r="E127" s="281" t="str">
        <v>آینده روان‌درمانی</v>
      </c>
      <c r="F127" s="281" t="str">
        <v>واحد مطالعه بر اساس بازهٔ صفحه</v>
      </c>
      <c r="G127" s="281" t="str">
        <v>۸۳۵ تا ۸۵۲</v>
      </c>
      <c r="H127" s="681" t="n">
        <v>18</v>
      </c>
      <c r="I127" s="281" t="str">
        <v>۱۴۰۵/۰۷/۲۰</v>
      </c>
      <c r="J127" s="684" t="n">
        <v>58</v>
      </c>
      <c r="K127" s="281" t="str">
        <v>۱۴۰۵/۰۷/۲۰</v>
      </c>
      <c r="L127" s="281" t="str">
        <v>۱۴۰۵/۰۷/۲۱</v>
      </c>
      <c r="M127" s="281" t="str">
        <v>۱۴۰۵/۰۷/۲۳</v>
      </c>
      <c r="N127" s="281" t="str">
        <v>۱۴۰۵/۰۷/۲۷</v>
      </c>
      <c r="O127" s="281" t="str">
        <v>تثبیت نهایی</v>
      </c>
      <c r="P127" s="281" t="str">
        <v>تثبیت نهایی</v>
      </c>
      <c r="Q127" s="411"/>
      <c r="R127" s="687" t="n">
        <v>1</v>
      </c>
      <c r="S127" s="687"/>
      <c r="T127" s="412"/>
      <c r="U127" s="412"/>
      <c r="V127" s="412"/>
      <c r="W127" s="687" t="str">
        <v>0</v>
      </c>
      <c r="X127" s="412" t="str">
        <v>خیر</v>
      </c>
      <c r="Y127" s="413" t="str">
        <v>خیر</v>
      </c>
      <c r="Z127" s="430" t="str">
        <f>IF(AM127="","",IF(AM127&gt;AO127,"تثبیت نهایی",IFERROR(INDEX('برنامه خرد'!$A$2:$A$82,MATCH(AM127,'برنامه خرد'!$I$2:$I$82,0)),"تثبیت نهایی")))</f>
        <v>۱۴۰۵/۰۷/۲۲</v>
      </c>
      <c r="AA127" s="431" t="str">
        <v>۱۴۰۵/۰۷/۲۲</v>
      </c>
      <c r="AB127" s="690" t="n">
        <f>IF(AM127="","",AM127-AN127)</f>
        <v>0</v>
      </c>
      <c r="AC127" s="431" t="str">
        <f>IF(AM127="","فاقد داده",IF(AM127&gt;AO127,"انتقال به تثبیت نهایی",IF(AM127&lt;TODAY(),"عقب‌افتاده",IF(AM127=TODAY(),"سررسید امروز","آینده"))))</f>
        <v>آینده</v>
      </c>
      <c r="AD127" s="432" t="str">
        <f>IF(OR(AM127&gt;AO127,Z127="تثبیت نهایی"),"بله","خیر")</f>
        <v>خیر</v>
      </c>
      <c r="AE127" s="436" t="str">
        <v>این فرمول فقط تاریخ پیشنهادی را محاسبه می‌کند و ردیف‌های برنامهٔ روزانه را خودکار جابه‌جا نمی‌کند.</v>
      </c>
      <c r="AF127" s="1423" t="n">
        <v>46307</v>
      </c>
      <c r="AG127" s="1423" t="n">
        <v>46308</v>
      </c>
      <c r="AH127" s="1423" t="n">
        <v>46310</v>
      </c>
      <c r="AI127" s="1423" t="n">
        <v>46314</v>
      </c>
      <c r="AJ127" s="1423" t="n">
        <v>46321</v>
      </c>
      <c r="AK127" s="1423" t="n">
        <v>46335</v>
      </c>
      <c r="AL127" s="1423" t="str">
        <f>IFERROR(INDEX('برنامه خرد'!$I$2:$I$82,MATCH(Q127,'برنامه خرد'!$A$2:$A$82,0)),"")</f>
      </c>
      <c r="AM127" s="1423" t="n">
        <f>IF(AL127="",AN127,IF(T127="غلط یا کمتر از ۵۰٪",AL127+1,IF(T127="ناقص یا همراه با حدس",AL127+2,IF(T127="درست ولی کند و مردد",AL127+4,IF(T127="درست، سریع و کامل",IF(W127&gt;=2,AL127+IF(R127&lt;14,14,28),AL127+MIN(28,MAX(3,R127*2))),AN127)))))</f>
        <v>46309</v>
      </c>
      <c r="AN127" s="1423" t="n">
        <v>46309</v>
      </c>
      <c r="AO127" s="1423" t="n">
        <v>46317</v>
      </c>
    </row>
    <row r="128" ht="38" customHeight="1">
      <c r="A128" s="366" t="str">
        <v>U127</v>
      </c>
      <c r="B128" s="367" t="str">
        <v>نظریه‌های روان‌درمانی پروچاسکا</v>
      </c>
      <c r="C128" s="367" t="str">
        <v>نظریه‌های روان‌درمانی پروچاسکا</v>
      </c>
      <c r="D128" s="367" t="str">
        <v>18</v>
      </c>
      <c r="E128" s="367" t="str">
        <v>آینده روان‌درمانی</v>
      </c>
      <c r="F128" s="367" t="str">
        <v>واحد مطالعه بر اساس بازهٔ صفحه</v>
      </c>
      <c r="G128" s="367" t="str">
        <v>۸۵۳ تا ۸۶۰</v>
      </c>
      <c r="H128" s="680" t="n">
        <v>8</v>
      </c>
      <c r="I128" s="367" t="str">
        <v>۱۴۰۵/۰۷/۲۲</v>
      </c>
      <c r="J128" s="683" t="n">
        <v>25</v>
      </c>
      <c r="K128" s="367" t="str">
        <v>۱۴۰۵/۰۷/۲۲</v>
      </c>
      <c r="L128" s="367" t="str">
        <v>۱۴۰۵/۰۷/۲۳</v>
      </c>
      <c r="M128" s="367" t="str">
        <v>۱۴۰۵/۰۷/۲۵</v>
      </c>
      <c r="N128" s="367" t="str">
        <v>۱۴۰۵/۰۷/۲۹</v>
      </c>
      <c r="O128" s="367" t="str">
        <v>تثبیت نهایی</v>
      </c>
      <c r="P128" s="367" t="str">
        <v>تثبیت نهایی</v>
      </c>
      <c r="Q128" s="411"/>
      <c r="R128" s="687" t="n">
        <v>1</v>
      </c>
      <c r="S128" s="687"/>
      <c r="T128" s="412"/>
      <c r="U128" s="412"/>
      <c r="V128" s="412"/>
      <c r="W128" s="687" t="str">
        <v>0</v>
      </c>
      <c r="X128" s="412" t="str">
        <v>خیر</v>
      </c>
      <c r="Y128" s="413" t="str">
        <v>خیر</v>
      </c>
      <c r="Z128" s="430" t="str">
        <f>IF(AM128="","",IF(AM128&gt;AO128,"تثبیت نهایی",IFERROR(INDEX('برنامه خرد'!$A$2:$A$82,MATCH(AM128,'برنامه خرد'!$I$2:$I$82,0)),"تثبیت نهایی")))</f>
        <v>۱۴۰۵/۰۷/۲۳</v>
      </c>
      <c r="AA128" s="431" t="str">
        <v>۱۴۰۵/۰۷/۲۳</v>
      </c>
      <c r="AB128" s="690" t="n">
        <f>IF(AM128="","",AM128-AN128)</f>
        <v>0</v>
      </c>
      <c r="AC128" s="431" t="str">
        <f>IF(AM128="","فاقد داده",IF(AM128&gt;AO128,"انتقال به تثبیت نهایی",IF(AM128&lt;TODAY(),"عقب‌افتاده",IF(AM128=TODAY(),"سررسید امروز","آینده"))))</f>
        <v>آینده</v>
      </c>
      <c r="AD128" s="432" t="str">
        <f>IF(OR(AM128&gt;AO128,Z128="تثبیت نهایی"),"بله","خیر")</f>
        <v>خیر</v>
      </c>
      <c r="AE128" s="436" t="str">
        <v>این فرمول فقط تاریخ پیشنهادی را محاسبه می‌کند و ردیف‌های برنامهٔ روزانه را خودکار جابه‌جا نمی‌کند.</v>
      </c>
      <c r="AF128" s="1423" t="n">
        <v>46309</v>
      </c>
      <c r="AG128" s="1423" t="n">
        <v>46310</v>
      </c>
      <c r="AH128" s="1423" t="n">
        <v>46312</v>
      </c>
      <c r="AI128" s="1423" t="n">
        <v>46316</v>
      </c>
      <c r="AJ128" s="1423" t="n">
        <v>46323</v>
      </c>
      <c r="AK128" s="1423" t="n">
        <v>46337</v>
      </c>
      <c r="AL128" s="1423" t="str">
        <f>IFERROR(INDEX('برنامه خرد'!$I$2:$I$82,MATCH(Q128,'برنامه خرد'!$A$2:$A$82,0)),"")</f>
      </c>
      <c r="AM128" s="1423" t="n">
        <f>IF(AL128="",AN128,IF(T128="غلط یا کمتر از ۵۰٪",AL128+1,IF(T128="ناقص یا همراه با حدس",AL128+2,IF(T128="درست ولی کند و مردد",AL128+4,IF(T128="درست، سریع و کامل",IF(W128&gt;=2,AL128+IF(R128&lt;14,14,28),AL128+MIN(28,MAX(3,R128*2))),AN128)))))</f>
        <v>46310</v>
      </c>
      <c r="AN128" s="1423" t="n">
        <v>46310</v>
      </c>
      <c r="AO128" s="1423" t="n">
        <v>46317</v>
      </c>
    </row>
    <row r="129" ht="38" customHeight="1">
      <c r="A129" s="280" t="str">
        <v>U128</v>
      </c>
      <c r="B129" s="281" t="str">
        <v>روان‌شناسی رشد کرین</v>
      </c>
      <c r="C129" s="281" t="str">
        <v>روان‌شناسی رشد کرین</v>
      </c>
      <c r="D129" s="281" t="str">
        <v>2</v>
      </c>
      <c r="E129" s="281" t="str">
        <v>نظریه رسشی گزل</v>
      </c>
      <c r="F129" s="281" t="str">
        <v>واحد مطالعه بر اساس بازهٔ صفحه</v>
      </c>
      <c r="G129" s="281" t="str">
        <v>۵۶ تا ۷۲</v>
      </c>
      <c r="H129" s="681" t="n">
        <v>17</v>
      </c>
      <c r="I129" s="281" t="str">
        <v>۱۴۰۵/۰۵/۲۰</v>
      </c>
      <c r="J129" s="684" t="n">
        <v>74</v>
      </c>
      <c r="K129" s="281" t="str">
        <v>۱۴۰۵/۰۵/۲۰</v>
      </c>
      <c r="L129" s="281" t="str">
        <v>۱۴۰۵/۰۵/۲۱</v>
      </c>
      <c r="M129" s="281" t="str">
        <v>۱۴۰۵/۰۵/۲۳</v>
      </c>
      <c r="N129" s="281" t="str">
        <v>۱۴۰۵/۰۵/۲۷</v>
      </c>
      <c r="O129" s="281" t="str">
        <v>۱۴۰۵/۰۶/۰۳</v>
      </c>
      <c r="P129" s="281" t="str">
        <v>۱۴۰۵/۰۶/۱۷</v>
      </c>
      <c r="Q129" s="411"/>
      <c r="R129" s="687" t="n">
        <v>1</v>
      </c>
      <c r="S129" s="687"/>
      <c r="T129" s="412"/>
      <c r="U129" s="412"/>
      <c r="V129" s="412"/>
      <c r="W129" s="687" t="str">
        <v>0</v>
      </c>
      <c r="X129" s="412" t="str">
        <v>خیر</v>
      </c>
      <c r="Y129" s="413" t="str">
        <v>خیر</v>
      </c>
      <c r="Z129" s="430" t="str">
        <f>IF(AM129="","",IF(AM129&gt;AO129,"تثبیت نهایی",IFERROR(INDEX('برنامه خرد'!$A$2:$A$82,MATCH(AM129,'برنامه خرد'!$I$2:$I$82,0)),"تثبیت نهایی")))</f>
        <v>۱۴۰۵/۰۵/۲۰</v>
      </c>
      <c r="AA129" s="431" t="str">
        <v>۱۴۰۵/۰۵/۲۰</v>
      </c>
      <c r="AB129" s="690" t="n">
        <f>IF(AM129="","",AM129-AN129)</f>
        <v>0</v>
      </c>
      <c r="AC129" s="431" t="str">
        <f>IF(AM129="","فاقد داده",IF(AM129&gt;AO129,"انتقال به تثبیت نهایی",IF(AM129&lt;TODAY(),"عقب‌افتاده",IF(AM129=TODAY(),"سررسید امروز","آینده"))))</f>
        <v>آینده</v>
      </c>
      <c r="AD129" s="432" t="str">
        <f>IF(OR(AM129&gt;AO129,Z129="تثبیت نهایی"),"بله","خیر")</f>
        <v>خیر</v>
      </c>
      <c r="AE129" s="436" t="str">
        <v>این فرمول فقط تاریخ پیشنهادی را محاسبه می‌کند و ردیف‌های برنامهٔ روزانه را خودکار جابه‌جا نمی‌کند.</v>
      </c>
      <c r="AF129" s="1423" t="n">
        <v>46245</v>
      </c>
      <c r="AG129" s="1423" t="n">
        <v>46246</v>
      </c>
      <c r="AH129" s="1423" t="n">
        <v>46248</v>
      </c>
      <c r="AI129" s="1423" t="n">
        <v>46252</v>
      </c>
      <c r="AJ129" s="1423" t="n">
        <v>46259</v>
      </c>
      <c r="AK129" s="1423" t="n">
        <v>46273</v>
      </c>
      <c r="AL129" s="1423" t="str">
        <f>IFERROR(INDEX('برنامه خرد'!$I$2:$I$82,MATCH(Q129,'برنامه خرد'!$A$2:$A$82,0)),"")</f>
      </c>
      <c r="AM129" s="1423" t="n">
        <f>IF(AL129="",AN129,IF(T129="غلط یا کمتر از ۵۰٪",AL129+1,IF(T129="ناقص یا همراه با حدس",AL129+2,IF(T129="درست ولی کند و مردد",AL129+4,IF(T129="درست، سریع و کامل",IF(W129&gt;=2,AL129+IF(R129&lt;14,14,28),AL129+MIN(28,MAX(3,R129*2))),AN129)))))</f>
        <v>46245</v>
      </c>
      <c r="AN129" s="1423" t="n">
        <v>46245</v>
      </c>
      <c r="AO129" s="1423" t="n">
        <v>46317</v>
      </c>
    </row>
    <row r="130" ht="38" customHeight="1">
      <c r="A130" s="366" t="str">
        <v>U129</v>
      </c>
      <c r="B130" s="367" t="str">
        <v>روان‌شناسی رشد کرین</v>
      </c>
      <c r="C130" s="367" t="str">
        <v>روان‌شناسی رشد کرین</v>
      </c>
      <c r="D130" s="367" t="str">
        <v>3</v>
      </c>
      <c r="E130" s="367" t="str">
        <v>نظریه‌های کردارشناختی: داروین، لورنز و تینبرگن؛ و بالبی و اینزورث</v>
      </c>
      <c r="F130" s="367" t="str">
        <v>واحد مطالعه بر اساس بازهٔ صفحه</v>
      </c>
      <c r="G130" s="367" t="str">
        <v>۷۳ تا ۷۵</v>
      </c>
      <c r="H130" s="680" t="n">
        <v>3</v>
      </c>
      <c r="I130" s="367" t="str">
        <v>۱۴۰۵/۰۵/۲۰</v>
      </c>
      <c r="J130" s="683" t="n">
        <v>13.1</v>
      </c>
      <c r="K130" s="367" t="str">
        <v>۱۴۰۵/۰۵/۲۰</v>
      </c>
      <c r="L130" s="367" t="str">
        <v>۱۴۰۵/۰۵/۲۱</v>
      </c>
      <c r="M130" s="367" t="str">
        <v>۱۴۰۵/۰۵/۲۳</v>
      </c>
      <c r="N130" s="367" t="str">
        <v>۱۴۰۵/۰۵/۲۷</v>
      </c>
      <c r="O130" s="367" t="str">
        <v>۱۴۰۵/۰۶/۰۳</v>
      </c>
      <c r="P130" s="367" t="str">
        <v>۱۴۰۵/۰۶/۱۷</v>
      </c>
      <c r="Q130" s="411"/>
      <c r="R130" s="687" t="n">
        <v>1</v>
      </c>
      <c r="S130" s="687"/>
      <c r="T130" s="412"/>
      <c r="U130" s="412"/>
      <c r="V130" s="412"/>
      <c r="W130" s="687" t="str">
        <v>0</v>
      </c>
      <c r="X130" s="412" t="str">
        <v>خیر</v>
      </c>
      <c r="Y130" s="413" t="str">
        <v>خیر</v>
      </c>
      <c r="Z130" s="430" t="str">
        <f>IF(AM130="","",IF(AM130&gt;AO130,"تثبیت نهایی",IFERROR(INDEX('برنامه خرد'!$A$2:$A$82,MATCH(AM130,'برنامه خرد'!$I$2:$I$82,0)),"تثبیت نهایی")))</f>
        <v>۱۴۰۵/۰۵/۲۰</v>
      </c>
      <c r="AA130" s="431" t="str">
        <v>۱۴۰۵/۰۵/۲۰</v>
      </c>
      <c r="AB130" s="690" t="n">
        <f>IF(AM130="","",AM130-AN130)</f>
        <v>0</v>
      </c>
      <c r="AC130" s="431" t="str">
        <f>IF(AM130="","فاقد داده",IF(AM130&gt;AO130,"انتقال به تثبیت نهایی",IF(AM130&lt;TODAY(),"عقب‌افتاده",IF(AM130=TODAY(),"سررسید امروز","آینده"))))</f>
        <v>آینده</v>
      </c>
      <c r="AD130" s="432" t="str">
        <f>IF(OR(AM130&gt;AO130,Z130="تثبیت نهایی"),"بله","خیر")</f>
        <v>خیر</v>
      </c>
      <c r="AE130" s="436" t="str">
        <v>این فرمول فقط تاریخ پیشنهادی را محاسبه می‌کند و ردیف‌های برنامهٔ روزانه را خودکار جابه‌جا نمی‌کند.</v>
      </c>
      <c r="AF130" s="1423" t="n">
        <v>46245</v>
      </c>
      <c r="AG130" s="1423" t="n">
        <v>46246</v>
      </c>
      <c r="AH130" s="1423" t="n">
        <v>46248</v>
      </c>
      <c r="AI130" s="1423" t="n">
        <v>46252</v>
      </c>
      <c r="AJ130" s="1423" t="n">
        <v>46259</v>
      </c>
      <c r="AK130" s="1423" t="n">
        <v>46273</v>
      </c>
      <c r="AL130" s="1423" t="str">
        <f>IFERROR(INDEX('برنامه خرد'!$I$2:$I$82,MATCH(Q130,'برنامه خرد'!$A$2:$A$82,0)),"")</f>
      </c>
      <c r="AM130" s="1423" t="n">
        <f>IF(AL130="",AN130,IF(T130="غلط یا کمتر از ۵۰٪",AL130+1,IF(T130="ناقص یا همراه با حدس",AL130+2,IF(T130="درست ولی کند و مردد",AL130+4,IF(T130="درست، سریع و کامل",IF(W130&gt;=2,AL130+IF(R130&lt;14,14,28),AL130+MIN(28,MAX(3,R130*2))),AN130)))))</f>
        <v>46245</v>
      </c>
      <c r="AN130" s="1423" t="n">
        <v>46245</v>
      </c>
      <c r="AO130" s="1423" t="n">
        <v>46317</v>
      </c>
    </row>
    <row r="131" ht="38" customHeight="1">
      <c r="A131" s="280" t="str">
        <v>U130</v>
      </c>
      <c r="B131" s="281" t="str">
        <v>روان‌شناسی رشد کرین</v>
      </c>
      <c r="C131" s="281" t="str">
        <v>روان‌شناسی رشد کرین</v>
      </c>
      <c r="D131" s="281" t="str">
        <v>3</v>
      </c>
      <c r="E131" s="281" t="str">
        <v>نظریه‌های کردارشناختی: داروین، لورنز و تینبرگن؛ و بالبی و اینزورث</v>
      </c>
      <c r="F131" s="281" t="str">
        <v>واحد مطالعه بر اساس بازهٔ صفحه</v>
      </c>
      <c r="G131" s="281" t="str">
        <v>۷۶ تا ۸۱</v>
      </c>
      <c r="H131" s="681" t="n">
        <v>6</v>
      </c>
      <c r="I131" s="281" t="str">
        <v>۱۴۰۵/۰۵/۲۴</v>
      </c>
      <c r="J131" s="684" t="n">
        <v>25</v>
      </c>
      <c r="K131" s="281" t="str">
        <v>۱۴۰۵/۰۵/۲۴</v>
      </c>
      <c r="L131" s="281" t="str">
        <v>۱۴۰۵/۰۵/۲۵</v>
      </c>
      <c r="M131" s="281" t="str">
        <v>۱۴۰۵/۰۵/۲۷</v>
      </c>
      <c r="N131" s="281" t="str">
        <v>۱۴۰۵/۰۵/۳۱</v>
      </c>
      <c r="O131" s="281" t="str">
        <v>۱۴۰۵/۰۶/۰۷</v>
      </c>
      <c r="P131" s="281" t="str">
        <v>۱۴۰۵/۰۶/۲۱</v>
      </c>
      <c r="Q131" s="411"/>
      <c r="R131" s="687" t="n">
        <v>1</v>
      </c>
      <c r="S131" s="687"/>
      <c r="T131" s="412"/>
      <c r="U131" s="412"/>
      <c r="V131" s="412"/>
      <c r="W131" s="687" t="str">
        <v>0</v>
      </c>
      <c r="X131" s="412" t="str">
        <v>خیر</v>
      </c>
      <c r="Y131" s="413" t="str">
        <v>خیر</v>
      </c>
      <c r="Z131" s="430" t="str">
        <f>IF(AM131="","",IF(AM131&gt;AO131,"تثبیت نهایی",IFERROR(INDEX('برنامه خرد'!$A$2:$A$82,MATCH(AM131,'برنامه خرد'!$I$2:$I$82,0)),"تثبیت نهایی")))</f>
        <v>۱۴۰۵/۰۵/۲۵</v>
      </c>
      <c r="AA131" s="431" t="str">
        <v>۱۴۰۵/۰۵/۲۵</v>
      </c>
      <c r="AB131" s="690" t="n">
        <f>IF(AM131="","",AM131-AN131)</f>
        <v>0</v>
      </c>
      <c r="AC131" s="431" t="str">
        <f>IF(AM131="","فاقد داده",IF(AM131&gt;AO131,"انتقال به تثبیت نهایی",IF(AM131&lt;TODAY(),"عقب‌افتاده",IF(AM131=TODAY(),"سررسید امروز","آینده"))))</f>
        <v>آینده</v>
      </c>
      <c r="AD131" s="432" t="str">
        <f>IF(OR(AM131&gt;AO131,Z131="تثبیت نهایی"),"بله","خیر")</f>
        <v>خیر</v>
      </c>
      <c r="AE131" s="436" t="str">
        <v>این فرمول فقط تاریخ پیشنهادی را محاسبه می‌کند و ردیف‌های برنامهٔ روزانه را خودکار جابه‌جا نمی‌کند.</v>
      </c>
      <c r="AF131" s="1423" t="n">
        <v>46249</v>
      </c>
      <c r="AG131" s="1423" t="n">
        <v>46250</v>
      </c>
      <c r="AH131" s="1423" t="n">
        <v>46252</v>
      </c>
      <c r="AI131" s="1423" t="n">
        <v>46256</v>
      </c>
      <c r="AJ131" s="1423" t="n">
        <v>46263</v>
      </c>
      <c r="AK131" s="1423" t="n">
        <v>46277</v>
      </c>
      <c r="AL131" s="1423" t="str">
        <f>IFERROR(INDEX('برنامه خرد'!$I$2:$I$82,MATCH(Q131,'برنامه خرد'!$A$2:$A$82,0)),"")</f>
      </c>
      <c r="AM131" s="1423" t="n">
        <f>IF(AL131="",AN131,IF(T131="غلط یا کمتر از ۵۰٪",AL131+1,IF(T131="ناقص یا همراه با حدس",AL131+2,IF(T131="درست ولی کند و مردد",AL131+4,IF(T131="درست، سریع و کامل",IF(W131&gt;=2,AL131+IF(R131&lt;14,14,28),AL131+MIN(28,MAX(3,R131*2))),AN131)))))</f>
        <v>46250</v>
      </c>
      <c r="AN131" s="1423" t="n">
        <v>46250</v>
      </c>
      <c r="AO131" s="1423" t="n">
        <v>46317</v>
      </c>
    </row>
    <row r="132" ht="38" customHeight="1">
      <c r="A132" s="366" t="str">
        <v>U131</v>
      </c>
      <c r="B132" s="367" t="str">
        <v>روان‌شناسی رشد کرین</v>
      </c>
      <c r="C132" s="367" t="str">
        <v>روان‌شناسی رشد کرین</v>
      </c>
      <c r="D132" s="367" t="str">
        <v>3</v>
      </c>
      <c r="E132" s="367" t="str">
        <v>نظریه‌های کردارشناختی: داروین، لورنز و تینبرگن؛ و بالبی و اینزورث</v>
      </c>
      <c r="F132" s="367" t="str">
        <v>واحد مطالعه بر اساس بازهٔ صفحه</v>
      </c>
      <c r="G132" s="367" t="str">
        <v>۸۲ تا ۸۷</v>
      </c>
      <c r="H132" s="680" t="n">
        <v>6</v>
      </c>
      <c r="I132" s="367" t="str">
        <v>۱۴۰۵/۰۵/۲۵</v>
      </c>
      <c r="J132" s="683" t="n">
        <v>25</v>
      </c>
      <c r="K132" s="367" t="str">
        <v>۱۴۰۵/۰۵/۲۵</v>
      </c>
      <c r="L132" s="367" t="str">
        <v>۱۴۰۵/۰۵/۲۶</v>
      </c>
      <c r="M132" s="367" t="str">
        <v>۱۴۰۵/۰۵/۲۸</v>
      </c>
      <c r="N132" s="367" t="str">
        <v>۱۴۰۵/۰۶/۰۱</v>
      </c>
      <c r="O132" s="367" t="str">
        <v>۱۴۰۵/۰۶/۰۸</v>
      </c>
      <c r="P132" s="367" t="str">
        <v>۱۴۰۵/۰۶/۲۲</v>
      </c>
      <c r="Q132" s="411"/>
      <c r="R132" s="687" t="n">
        <v>1</v>
      </c>
      <c r="S132" s="687"/>
      <c r="T132" s="412"/>
      <c r="U132" s="412"/>
      <c r="V132" s="412"/>
      <c r="W132" s="687" t="str">
        <v>0</v>
      </c>
      <c r="X132" s="412" t="str">
        <v>خیر</v>
      </c>
      <c r="Y132" s="413" t="str">
        <v>خیر</v>
      </c>
      <c r="Z132" s="430" t="str">
        <f>IF(AM132="","",IF(AM132&gt;AO132,"تثبیت نهایی",IFERROR(INDEX('برنامه خرد'!$A$2:$A$82,MATCH(AM132,'برنامه خرد'!$I$2:$I$82,0)),"تثبیت نهایی")))</f>
        <v>۱۴۰۵/۰۵/۲۶</v>
      </c>
      <c r="AA132" s="431" t="str">
        <v>۱۴۰۵/۰۵/۲۶</v>
      </c>
      <c r="AB132" s="690" t="n">
        <f>IF(AM132="","",AM132-AN132)</f>
        <v>0</v>
      </c>
      <c r="AC132" s="431" t="str">
        <f>IF(AM132="","فاقد داده",IF(AM132&gt;AO132,"انتقال به تثبیت نهایی",IF(AM132&lt;TODAY(),"عقب‌افتاده",IF(AM132=TODAY(),"سررسید امروز","آینده"))))</f>
        <v>آینده</v>
      </c>
      <c r="AD132" s="432" t="str">
        <f>IF(OR(AM132&gt;AO132,Z132="تثبیت نهایی"),"بله","خیر")</f>
        <v>خیر</v>
      </c>
      <c r="AE132" s="436" t="str">
        <v>این فرمول فقط تاریخ پیشنهادی را محاسبه می‌کند و ردیف‌های برنامهٔ روزانه را خودکار جابه‌جا نمی‌کند.</v>
      </c>
      <c r="AF132" s="1423" t="n">
        <v>46250</v>
      </c>
      <c r="AG132" s="1423" t="n">
        <v>46251</v>
      </c>
      <c r="AH132" s="1423" t="n">
        <v>46253</v>
      </c>
      <c r="AI132" s="1423" t="n">
        <v>46257</v>
      </c>
      <c r="AJ132" s="1423" t="n">
        <v>46264</v>
      </c>
      <c r="AK132" s="1423" t="n">
        <v>46278</v>
      </c>
      <c r="AL132" s="1423" t="str">
        <f>IFERROR(INDEX('برنامه خرد'!$I$2:$I$82,MATCH(Q132,'برنامه خرد'!$A$2:$A$82,0)),"")</f>
      </c>
      <c r="AM132" s="1423" t="n">
        <f>IF(AL132="",AN132,IF(T132="غلط یا کمتر از ۵۰٪",AL132+1,IF(T132="ناقص یا همراه با حدس",AL132+2,IF(T132="درست ولی کند و مردد",AL132+4,IF(T132="درست، سریع و کامل",IF(W132&gt;=2,AL132+IF(R132&lt;14,14,28),AL132+MIN(28,MAX(3,R132*2))),AN132)))))</f>
        <v>46251</v>
      </c>
      <c r="AN132" s="1423" t="n">
        <v>46251</v>
      </c>
      <c r="AO132" s="1423" t="n">
        <v>46317</v>
      </c>
    </row>
    <row r="133" ht="38" customHeight="1">
      <c r="A133" s="280" t="str">
        <v>U132</v>
      </c>
      <c r="B133" s="281" t="str">
        <v>روان‌شناسی رشد کرین</v>
      </c>
      <c r="C133" s="281" t="str">
        <v>روان‌شناسی رشد کرین</v>
      </c>
      <c r="D133" s="281" t="str">
        <v>3</v>
      </c>
      <c r="E133" s="281" t="str">
        <v>نظریه‌های کردارشناختی: داروین، لورنز و تینبرگن؛ و بالبی و اینزورث</v>
      </c>
      <c r="F133" s="281" t="str">
        <v>واحد مطالعه بر اساس بازهٔ صفحه</v>
      </c>
      <c r="G133" s="281" t="str">
        <v>۸۸ تا ۹۳</v>
      </c>
      <c r="H133" s="681" t="n">
        <v>6</v>
      </c>
      <c r="I133" s="281" t="str">
        <v>۱۴۰۵/۰۵/۲۶</v>
      </c>
      <c r="J133" s="684" t="n">
        <v>25</v>
      </c>
      <c r="K133" s="281" t="str">
        <v>۱۴۰۵/۰۵/۲۶</v>
      </c>
      <c r="L133" s="281" t="str">
        <v>۱۴۰۵/۰۵/۲۷</v>
      </c>
      <c r="M133" s="281" t="str">
        <v>۱۴۰۵/۰۵/۲۹</v>
      </c>
      <c r="N133" s="281" t="str">
        <v>۱۴۰۵/۰۶/۰۲</v>
      </c>
      <c r="O133" s="281" t="str">
        <v>۱۴۰۵/۰۶/۰۹</v>
      </c>
      <c r="P133" s="281" t="str">
        <v>۱۴۰۵/۰۶/۲۳</v>
      </c>
      <c r="Q133" s="411"/>
      <c r="R133" s="687" t="n">
        <v>1</v>
      </c>
      <c r="S133" s="687"/>
      <c r="T133" s="412"/>
      <c r="U133" s="412"/>
      <c r="V133" s="412"/>
      <c r="W133" s="687" t="str">
        <v>0</v>
      </c>
      <c r="X133" s="412" t="str">
        <v>خیر</v>
      </c>
      <c r="Y133" s="413" t="str">
        <v>خیر</v>
      </c>
      <c r="Z133" s="430" t="str">
        <f>IF(AM133="","",IF(AM133&gt;AO133,"تثبیت نهایی",IFERROR(INDEX('برنامه خرد'!$A$2:$A$82,MATCH(AM133,'برنامه خرد'!$I$2:$I$82,0)),"تثبیت نهایی")))</f>
        <v>۱۴۰۵/۰۵/۲۷</v>
      </c>
      <c r="AA133" s="431" t="str">
        <v>۱۴۰۵/۰۵/۲۷</v>
      </c>
      <c r="AB133" s="690" t="n">
        <f>IF(AM133="","",AM133-AN133)</f>
        <v>0</v>
      </c>
      <c r="AC133" s="431" t="str">
        <f>IF(AM133="","فاقد داده",IF(AM133&gt;AO133,"انتقال به تثبیت نهایی",IF(AM133&lt;TODAY(),"عقب‌افتاده",IF(AM133=TODAY(),"سررسید امروز","آینده"))))</f>
        <v>آینده</v>
      </c>
      <c r="AD133" s="432" t="str">
        <f>IF(OR(AM133&gt;AO133,Z133="تثبیت نهایی"),"بله","خیر")</f>
        <v>خیر</v>
      </c>
      <c r="AE133" s="436" t="str">
        <v>این فرمول فقط تاریخ پیشنهادی را محاسبه می‌کند و ردیف‌های برنامهٔ روزانه را خودکار جابه‌جا نمی‌کند.</v>
      </c>
      <c r="AF133" s="1423" t="n">
        <v>46251</v>
      </c>
      <c r="AG133" s="1423" t="n">
        <v>46252</v>
      </c>
      <c r="AH133" s="1423" t="n">
        <v>46254</v>
      </c>
      <c r="AI133" s="1423" t="n">
        <v>46258</v>
      </c>
      <c r="AJ133" s="1423" t="n">
        <v>46265</v>
      </c>
      <c r="AK133" s="1423" t="n">
        <v>46279</v>
      </c>
      <c r="AL133" s="1423" t="str">
        <f>IFERROR(INDEX('برنامه خرد'!$I$2:$I$82,MATCH(Q133,'برنامه خرد'!$A$2:$A$82,0)),"")</f>
      </c>
      <c r="AM133" s="1423" t="n">
        <f>IF(AL133="",AN133,IF(T133="غلط یا کمتر از ۵۰٪",AL133+1,IF(T133="ناقص یا همراه با حدس",AL133+2,IF(T133="درست ولی کند و مردد",AL133+4,IF(T133="درست، سریع و کامل",IF(W133&gt;=2,AL133+IF(R133&lt;14,14,28),AL133+MIN(28,MAX(3,R133*2))),AN133)))))</f>
        <v>46252</v>
      </c>
      <c r="AN133" s="1423" t="n">
        <v>46252</v>
      </c>
      <c r="AO133" s="1423" t="n">
        <v>46317</v>
      </c>
    </row>
    <row r="134" ht="38" customHeight="1">
      <c r="A134" s="366" t="str">
        <v>U133</v>
      </c>
      <c r="B134" s="367" t="str">
        <v>روان‌شناسی رشد کرین</v>
      </c>
      <c r="C134" s="367" t="str">
        <v>روان‌شناسی رشد کرین</v>
      </c>
      <c r="D134" s="367" t="str">
        <v>3</v>
      </c>
      <c r="E134" s="367" t="str">
        <v>نظریه‌های کردارشناختی: داروین، لورنز و تینبرگن؛ و بالبی و اینزورث</v>
      </c>
      <c r="F134" s="367" t="str">
        <v>واحد مطالعه بر اساس بازهٔ صفحه</v>
      </c>
      <c r="G134" s="367" t="str">
        <v>۹۴ تا ۱۱۳</v>
      </c>
      <c r="H134" s="680" t="n">
        <v>20</v>
      </c>
      <c r="I134" s="367" t="str">
        <v>۱۴۰۵/۰۵/۲۷</v>
      </c>
      <c r="J134" s="683" t="n">
        <v>87</v>
      </c>
      <c r="K134" s="367" t="str">
        <v>۱۴۰۵/۰۵/۲۷</v>
      </c>
      <c r="L134" s="367" t="str">
        <v>۱۴۰۵/۰۵/۲۸</v>
      </c>
      <c r="M134" s="367" t="str">
        <v>۱۴۰۵/۰۵/۳۰</v>
      </c>
      <c r="N134" s="367" t="str">
        <v>۱۴۰۵/۰۶/۰۳</v>
      </c>
      <c r="O134" s="367" t="str">
        <v>۱۴۰۵/۰۶/۱۰</v>
      </c>
      <c r="P134" s="367" t="str">
        <v>۱۴۰۵/۰۶/۲۴</v>
      </c>
      <c r="Q134" s="411"/>
      <c r="R134" s="687" t="n">
        <v>1</v>
      </c>
      <c r="S134" s="687"/>
      <c r="T134" s="412"/>
      <c r="U134" s="412"/>
      <c r="V134" s="412"/>
      <c r="W134" s="687" t="str">
        <v>0</v>
      </c>
      <c r="X134" s="412" t="str">
        <v>خیر</v>
      </c>
      <c r="Y134" s="413" t="str">
        <v>خیر</v>
      </c>
      <c r="Z134" s="430" t="str">
        <f>IF(AM134="","",IF(AM134&gt;AO134,"تثبیت نهایی",IFERROR(INDEX('برنامه خرد'!$A$2:$A$82,MATCH(AM134,'برنامه خرد'!$I$2:$I$82,0)),"تثبیت نهایی")))</f>
        <v>۱۴۰۵/۰۵/۲۹</v>
      </c>
      <c r="AA134" s="431" t="str">
        <v>۱۴۰۵/۰۵/۲۹</v>
      </c>
      <c r="AB134" s="690" t="n">
        <f>IF(AM134="","",AM134-AN134)</f>
        <v>0</v>
      </c>
      <c r="AC134" s="431" t="str">
        <f>IF(AM134="","فاقد داده",IF(AM134&gt;AO134,"انتقال به تثبیت نهایی",IF(AM134&lt;TODAY(),"عقب‌افتاده",IF(AM134=TODAY(),"سررسید امروز","آینده"))))</f>
        <v>آینده</v>
      </c>
      <c r="AD134" s="432" t="str">
        <f>IF(OR(AM134&gt;AO134,Z134="تثبیت نهایی"),"بله","خیر")</f>
        <v>خیر</v>
      </c>
      <c r="AE134" s="436" t="str">
        <v>این فرمول فقط تاریخ پیشنهادی را محاسبه می‌کند و ردیف‌های برنامهٔ روزانه را خودکار جابه‌جا نمی‌کند.</v>
      </c>
      <c r="AF134" s="1423" t="n">
        <v>46252</v>
      </c>
      <c r="AG134" s="1423" t="n">
        <v>46253</v>
      </c>
      <c r="AH134" s="1423" t="n">
        <v>46255</v>
      </c>
      <c r="AI134" s="1423" t="n">
        <v>46259</v>
      </c>
      <c r="AJ134" s="1423" t="n">
        <v>46266</v>
      </c>
      <c r="AK134" s="1423" t="n">
        <v>46280</v>
      </c>
      <c r="AL134" s="1423" t="str">
        <f>IFERROR(INDEX('برنامه خرد'!$I$2:$I$82,MATCH(Q134,'برنامه خرد'!$A$2:$A$82,0)),"")</f>
      </c>
      <c r="AM134" s="1423" t="n">
        <f>IF(AL134="",AN134,IF(T134="غلط یا کمتر از ۵۰٪",AL134+1,IF(T134="ناقص یا همراه با حدس",AL134+2,IF(T134="درست ولی کند و مردد",AL134+4,IF(T134="درست، سریع و کامل",IF(W134&gt;=2,AL134+IF(R134&lt;14,14,28),AL134+MIN(28,MAX(3,R134*2))),AN134)))))</f>
        <v>46254</v>
      </c>
      <c r="AN134" s="1423" t="n">
        <v>46254</v>
      </c>
      <c r="AO134" s="1423" t="n">
        <v>46317</v>
      </c>
    </row>
    <row r="135" ht="38" customHeight="1">
      <c r="A135" s="280" t="str">
        <v>U134</v>
      </c>
      <c r="B135" s="281" t="str">
        <v>روان‌شناسی رشد کرین</v>
      </c>
      <c r="C135" s="281" t="str">
        <v>روان‌شناسی رشد کرین</v>
      </c>
      <c r="D135" s="281" t="str">
        <v>3</v>
      </c>
      <c r="E135" s="281" t="str">
        <v>نظریه‌های کردارشناختی: داروین، لورنز و تینبرگن؛ و بالبی و اینزورث</v>
      </c>
      <c r="F135" s="281" t="str">
        <v>واحد مطالعه بر اساس بازهٔ صفحه</v>
      </c>
      <c r="G135" s="281" t="str">
        <v>۱۱۴ تا ۱۲۴</v>
      </c>
      <c r="H135" s="681" t="n">
        <v>11</v>
      </c>
      <c r="I135" s="281" t="str">
        <v>۱۴۰۵/۰۵/۲۹</v>
      </c>
      <c r="J135" s="684" t="n">
        <v>47.9</v>
      </c>
      <c r="K135" s="281" t="str">
        <v>۱۴۰۵/۰۵/۲۹</v>
      </c>
      <c r="L135" s="281" t="str">
        <v>۱۴۰۵/۰۵/۳۰</v>
      </c>
      <c r="M135" s="281" t="str">
        <v>۱۴۰۵/۰۶/۰۱</v>
      </c>
      <c r="N135" s="281" t="str">
        <v>۱۴۰۵/۰۶/۰۵</v>
      </c>
      <c r="O135" s="281" t="str">
        <v>۱۴۰۵/۰۶/۱۲</v>
      </c>
      <c r="P135" s="281" t="str">
        <v>۱۴۰۵/۰۶/۲۶</v>
      </c>
      <c r="Q135" s="411"/>
      <c r="R135" s="687" t="n">
        <v>1</v>
      </c>
      <c r="S135" s="687"/>
      <c r="T135" s="412"/>
      <c r="U135" s="412"/>
      <c r="V135" s="412"/>
      <c r="W135" s="687" t="str">
        <v>0</v>
      </c>
      <c r="X135" s="412" t="str">
        <v>خیر</v>
      </c>
      <c r="Y135" s="413" t="str">
        <v>خیر</v>
      </c>
      <c r="Z135" s="430" t="str">
        <f>IF(AM135="","",IF(AM135&gt;AO135,"تثبیت نهایی",IFERROR(INDEX('برنامه خرد'!$A$2:$A$82,MATCH(AM135,'برنامه خرد'!$I$2:$I$82,0)),"تثبیت نهایی")))</f>
        <v>۱۴۰۵/۰۵/۳۱</v>
      </c>
      <c r="AA135" s="431" t="str">
        <v>۱۴۰۵/۰۵/۳۱</v>
      </c>
      <c r="AB135" s="690" t="n">
        <f>IF(AM135="","",AM135-AN135)</f>
        <v>0</v>
      </c>
      <c r="AC135" s="431" t="str">
        <f>IF(AM135="","فاقد داده",IF(AM135&gt;AO135,"انتقال به تثبیت نهایی",IF(AM135&lt;TODAY(),"عقب‌افتاده",IF(AM135=TODAY(),"سررسید امروز","آینده"))))</f>
        <v>آینده</v>
      </c>
      <c r="AD135" s="432" t="str">
        <f>IF(OR(AM135&gt;AO135,Z135="تثبیت نهایی"),"بله","خیر")</f>
        <v>خیر</v>
      </c>
      <c r="AE135" s="436" t="str">
        <v>این فرمول فقط تاریخ پیشنهادی را محاسبه می‌کند و ردیف‌های برنامهٔ روزانه را خودکار جابه‌جا نمی‌کند.</v>
      </c>
      <c r="AF135" s="1423" t="n">
        <v>46254</v>
      </c>
      <c r="AG135" s="1423" t="n">
        <v>46255</v>
      </c>
      <c r="AH135" s="1423" t="n">
        <v>46257</v>
      </c>
      <c r="AI135" s="1423" t="n">
        <v>46261</v>
      </c>
      <c r="AJ135" s="1423" t="n">
        <v>46268</v>
      </c>
      <c r="AK135" s="1423" t="n">
        <v>46282</v>
      </c>
      <c r="AL135" s="1423" t="str">
        <f>IFERROR(INDEX('برنامه خرد'!$I$2:$I$82,MATCH(Q135,'برنامه خرد'!$A$2:$A$82,0)),"")</f>
      </c>
      <c r="AM135" s="1423" t="n">
        <f>IF(AL135="",AN135,IF(T135="غلط یا کمتر از ۵۰٪",AL135+1,IF(T135="ناقص یا همراه با حدس",AL135+2,IF(T135="درست ولی کند و مردد",AL135+4,IF(T135="درست، سریع و کامل",IF(W135&gt;=2,AL135+IF(R135&lt;14,14,28),AL135+MIN(28,MAX(3,R135*2))),AN135)))))</f>
        <v>46256</v>
      </c>
      <c r="AN135" s="1423" t="n">
        <v>46256</v>
      </c>
      <c r="AO135" s="1423" t="n">
        <v>46317</v>
      </c>
    </row>
    <row r="136" ht="38" customHeight="1">
      <c r="A136" s="366" t="str">
        <v>U135</v>
      </c>
      <c r="B136" s="367" t="str">
        <v>روان‌شناسی رشد کرین</v>
      </c>
      <c r="C136" s="367" t="str">
        <v>روان‌شناسی رشد کرین</v>
      </c>
      <c r="D136" s="367" t="str">
        <v>4</v>
      </c>
      <c r="E136" s="367" t="str">
        <v>فلسفه تربیتی مونتسوری</v>
      </c>
      <c r="F136" s="367" t="str">
        <v>واحد مطالعه بر اساس بازهٔ صفحه</v>
      </c>
      <c r="G136" s="367" t="str">
        <v>۱۲۵ تا ۱۳۳</v>
      </c>
      <c r="H136" s="680" t="n">
        <v>9</v>
      </c>
      <c r="I136" s="367" t="str">
        <v>۱۴۰۵/۰۵/۲۹</v>
      </c>
      <c r="J136" s="683" t="n">
        <v>39.1</v>
      </c>
      <c r="K136" s="367" t="str">
        <v>۱۴۰۵/۰۵/۲۹</v>
      </c>
      <c r="L136" s="367" t="str">
        <v>۱۴۰۵/۰۵/۳۰</v>
      </c>
      <c r="M136" s="367" t="str">
        <v>۱۴۰۵/۰۶/۰۱</v>
      </c>
      <c r="N136" s="367" t="str">
        <v>۱۴۰۵/۰۶/۰۵</v>
      </c>
      <c r="O136" s="367" t="str">
        <v>۱۴۰۵/۰۶/۱۲</v>
      </c>
      <c r="P136" s="367" t="str">
        <v>۱۴۰۵/۰۶/۲۶</v>
      </c>
      <c r="Q136" s="411"/>
      <c r="R136" s="687" t="n">
        <v>1</v>
      </c>
      <c r="S136" s="687"/>
      <c r="T136" s="412"/>
      <c r="U136" s="412"/>
      <c r="V136" s="412"/>
      <c r="W136" s="687" t="str">
        <v>0</v>
      </c>
      <c r="X136" s="412" t="str">
        <v>خیر</v>
      </c>
      <c r="Y136" s="413" t="str">
        <v>خیر</v>
      </c>
      <c r="Z136" s="430" t="str">
        <f>IF(AM136="","",IF(AM136&gt;AO136,"تثبیت نهایی",IFERROR(INDEX('برنامه خرد'!$A$2:$A$82,MATCH(AM136,'برنامه خرد'!$I$2:$I$82,0)),"تثبیت نهایی")))</f>
        <v>۱۴۰۵/۰۵/۳۱</v>
      </c>
      <c r="AA136" s="431" t="str">
        <v>۱۴۰۵/۰۵/۳۱</v>
      </c>
      <c r="AB136" s="690" t="n">
        <f>IF(AM136="","",AM136-AN136)</f>
        <v>0</v>
      </c>
      <c r="AC136" s="431" t="str">
        <f>IF(AM136="","فاقد داده",IF(AM136&gt;AO136,"انتقال به تثبیت نهایی",IF(AM136&lt;TODAY(),"عقب‌افتاده",IF(AM136=TODAY(),"سررسید امروز","آینده"))))</f>
        <v>آینده</v>
      </c>
      <c r="AD136" s="432" t="str">
        <f>IF(OR(AM136&gt;AO136,Z136="تثبیت نهایی"),"بله","خیر")</f>
        <v>خیر</v>
      </c>
      <c r="AE136" s="436" t="str">
        <v>این فرمول فقط تاریخ پیشنهادی را محاسبه می‌کند و ردیف‌های برنامهٔ روزانه را خودکار جابه‌جا نمی‌کند.</v>
      </c>
      <c r="AF136" s="1423" t="n">
        <v>46254</v>
      </c>
      <c r="AG136" s="1423" t="n">
        <v>46255</v>
      </c>
      <c r="AH136" s="1423" t="n">
        <v>46257</v>
      </c>
      <c r="AI136" s="1423" t="n">
        <v>46261</v>
      </c>
      <c r="AJ136" s="1423" t="n">
        <v>46268</v>
      </c>
      <c r="AK136" s="1423" t="n">
        <v>46282</v>
      </c>
      <c r="AL136" s="1423" t="str">
        <f>IFERROR(INDEX('برنامه خرد'!$I$2:$I$82,MATCH(Q136,'برنامه خرد'!$A$2:$A$82,0)),"")</f>
      </c>
      <c r="AM136" s="1423" t="n">
        <f>IF(AL136="",AN136,IF(T136="غلط یا کمتر از ۵۰٪",AL136+1,IF(T136="ناقص یا همراه با حدس",AL136+2,IF(T136="درست ولی کند و مردد",AL136+4,IF(T136="درست، سریع و کامل",IF(W136&gt;=2,AL136+IF(R136&lt;14,14,28),AL136+MIN(28,MAX(3,R136*2))),AN136)))))</f>
        <v>46256</v>
      </c>
      <c r="AN136" s="1423" t="n">
        <v>46256</v>
      </c>
      <c r="AO136" s="1423" t="n">
        <v>46317</v>
      </c>
    </row>
    <row r="137" ht="38" customHeight="1">
      <c r="A137" s="280" t="str">
        <v>U136</v>
      </c>
      <c r="B137" s="281" t="str">
        <v>روان‌شناسی رشد کرین</v>
      </c>
      <c r="C137" s="281" t="str">
        <v>روان‌شناسی رشد کرین</v>
      </c>
      <c r="D137" s="281" t="str">
        <v>4</v>
      </c>
      <c r="E137" s="281" t="str">
        <v>فلسفه تربیتی مونتسوری</v>
      </c>
      <c r="F137" s="281" t="str">
        <v>واحد مطالعه بر اساس بازهٔ صفحه</v>
      </c>
      <c r="G137" s="281" t="str">
        <v>۱۳۴ تا ۱۳۹</v>
      </c>
      <c r="H137" s="681" t="n">
        <v>6</v>
      </c>
      <c r="I137" s="281" t="str">
        <v>۱۴۰۵/۰۵/۳۱</v>
      </c>
      <c r="J137" s="684" t="n">
        <v>25</v>
      </c>
      <c r="K137" s="281" t="str">
        <v>۱۴۰۵/۰۵/۳۱</v>
      </c>
      <c r="L137" s="281" t="str">
        <v>۱۴۰۵/۰۶/۰۱</v>
      </c>
      <c r="M137" s="281" t="str">
        <v>۱۴۰۵/۰۶/۰۳</v>
      </c>
      <c r="N137" s="281" t="str">
        <v>۱۴۰۵/۰۶/۰۷</v>
      </c>
      <c r="O137" s="281" t="str">
        <v>۱۴۰۵/۰۶/۱۴</v>
      </c>
      <c r="P137" s="281" t="str">
        <v>۱۴۰۵/۰۶/۲۸</v>
      </c>
      <c r="Q137" s="411"/>
      <c r="R137" s="687" t="n">
        <v>1</v>
      </c>
      <c r="S137" s="687"/>
      <c r="T137" s="412"/>
      <c r="U137" s="412"/>
      <c r="V137" s="412"/>
      <c r="W137" s="687" t="str">
        <v>0</v>
      </c>
      <c r="X137" s="412" t="str">
        <v>خیر</v>
      </c>
      <c r="Y137" s="413" t="str">
        <v>خیر</v>
      </c>
      <c r="Z137" s="430" t="str">
        <f>IF(AM137="","",IF(AM137&gt;AO137,"تثبیت نهایی",IFERROR(INDEX('برنامه خرد'!$A$2:$A$82,MATCH(AM137,'برنامه خرد'!$I$2:$I$82,0)),"تثبیت نهایی")))</f>
        <v>۱۴۰۵/۰۶/۰۱</v>
      </c>
      <c r="AA137" s="431" t="str">
        <v>۱۴۰۵/۰۶/۰۱</v>
      </c>
      <c r="AB137" s="690" t="n">
        <f>IF(AM137="","",AM137-AN137)</f>
        <v>0</v>
      </c>
      <c r="AC137" s="431" t="str">
        <f>IF(AM137="","فاقد داده",IF(AM137&gt;AO137,"انتقال به تثبیت نهایی",IF(AM137&lt;TODAY(),"عقب‌افتاده",IF(AM137=TODAY(),"سررسید امروز","آینده"))))</f>
        <v>آینده</v>
      </c>
      <c r="AD137" s="432" t="str">
        <f>IF(OR(AM137&gt;AO137,Z137="تثبیت نهایی"),"بله","خیر")</f>
        <v>خیر</v>
      </c>
      <c r="AE137" s="436" t="str">
        <v>این فرمول فقط تاریخ پیشنهادی را محاسبه می‌کند و ردیف‌های برنامهٔ روزانه را خودکار جابه‌جا نمی‌کند.</v>
      </c>
      <c r="AF137" s="1423" t="n">
        <v>46256</v>
      </c>
      <c r="AG137" s="1423" t="n">
        <v>46257</v>
      </c>
      <c r="AH137" s="1423" t="n">
        <v>46259</v>
      </c>
      <c r="AI137" s="1423" t="n">
        <v>46263</v>
      </c>
      <c r="AJ137" s="1423" t="n">
        <v>46270</v>
      </c>
      <c r="AK137" s="1423" t="n">
        <v>46284</v>
      </c>
      <c r="AL137" s="1423" t="str">
        <f>IFERROR(INDEX('برنامه خرد'!$I$2:$I$82,MATCH(Q137,'برنامه خرد'!$A$2:$A$82,0)),"")</f>
      </c>
      <c r="AM137" s="1423" t="n">
        <f>IF(AL137="",AN137,IF(T137="غلط یا کمتر از ۵۰٪",AL137+1,IF(T137="ناقص یا همراه با حدس",AL137+2,IF(T137="درست ولی کند و مردد",AL137+4,IF(T137="درست، سریع و کامل",IF(W137&gt;=2,AL137+IF(R137&lt;14,14,28),AL137+MIN(28,MAX(3,R137*2))),AN137)))))</f>
        <v>46257</v>
      </c>
      <c r="AN137" s="1423" t="n">
        <v>46257</v>
      </c>
      <c r="AO137" s="1423" t="n">
        <v>46317</v>
      </c>
    </row>
    <row r="138" ht="38" customHeight="1">
      <c r="A138" s="366" t="str">
        <v>U137</v>
      </c>
      <c r="B138" s="367" t="str">
        <v>روان‌شناسی رشد کرین</v>
      </c>
      <c r="C138" s="367" t="str">
        <v>روان‌شناسی رشد کرین</v>
      </c>
      <c r="D138" s="367" t="str">
        <v>4</v>
      </c>
      <c r="E138" s="367" t="str">
        <v>فلسفه تربیتی مونتسوری</v>
      </c>
      <c r="F138" s="367" t="str">
        <v>واحد مطالعه بر اساس بازهٔ صفحه</v>
      </c>
      <c r="G138" s="367" t="str">
        <v>۱۴۰ تا ۱۴۵</v>
      </c>
      <c r="H138" s="680" t="n">
        <v>6</v>
      </c>
      <c r="I138" s="367" t="str">
        <v>۱۴۰۵/۰۶/۰۱</v>
      </c>
      <c r="J138" s="683" t="n">
        <v>25</v>
      </c>
      <c r="K138" s="367" t="str">
        <v>۱۴۰۵/۰۶/۰۱</v>
      </c>
      <c r="L138" s="367" t="str">
        <v>۱۴۰۵/۰۶/۰۲</v>
      </c>
      <c r="M138" s="367" t="str">
        <v>۱۴۰۵/۰۶/۰۴</v>
      </c>
      <c r="N138" s="367" t="str">
        <v>۱۴۰۵/۰۶/۰۸</v>
      </c>
      <c r="O138" s="367" t="str">
        <v>۱۴۰۵/۰۶/۱۵</v>
      </c>
      <c r="P138" s="367" t="str">
        <v>۱۴۰۵/۰۶/۲۹</v>
      </c>
      <c r="Q138" s="411"/>
      <c r="R138" s="687" t="n">
        <v>1</v>
      </c>
      <c r="S138" s="687"/>
      <c r="T138" s="412"/>
      <c r="U138" s="412"/>
      <c r="V138" s="412"/>
      <c r="W138" s="687" t="str">
        <v>0</v>
      </c>
      <c r="X138" s="412" t="str">
        <v>خیر</v>
      </c>
      <c r="Y138" s="413" t="str">
        <v>خیر</v>
      </c>
      <c r="Z138" s="430" t="str">
        <f>IF(AM138="","",IF(AM138&gt;AO138,"تثبیت نهایی",IFERROR(INDEX('برنامه خرد'!$A$2:$A$82,MATCH(AM138,'برنامه خرد'!$I$2:$I$82,0)),"تثبیت نهایی")))</f>
        <v>۱۴۰۵/۰۶/۰۲</v>
      </c>
      <c r="AA138" s="431" t="str">
        <v>۱۴۰۵/۰۶/۰۲</v>
      </c>
      <c r="AB138" s="690" t="n">
        <f>IF(AM138="","",AM138-AN138)</f>
        <v>0</v>
      </c>
      <c r="AC138" s="431" t="str">
        <f>IF(AM138="","فاقد داده",IF(AM138&gt;AO138,"انتقال به تثبیت نهایی",IF(AM138&lt;TODAY(),"عقب‌افتاده",IF(AM138=TODAY(),"سررسید امروز","آینده"))))</f>
        <v>آینده</v>
      </c>
      <c r="AD138" s="432" t="str">
        <f>IF(OR(AM138&gt;AO138,Z138="تثبیت نهایی"),"بله","خیر")</f>
        <v>خیر</v>
      </c>
      <c r="AE138" s="436" t="str">
        <v>این فرمول فقط تاریخ پیشنهادی را محاسبه می‌کند و ردیف‌های برنامهٔ روزانه را خودکار جابه‌جا نمی‌کند.</v>
      </c>
      <c r="AF138" s="1423" t="n">
        <v>46257</v>
      </c>
      <c r="AG138" s="1423" t="n">
        <v>46258</v>
      </c>
      <c r="AH138" s="1423" t="n">
        <v>46260</v>
      </c>
      <c r="AI138" s="1423" t="n">
        <v>46264</v>
      </c>
      <c r="AJ138" s="1423" t="n">
        <v>46271</v>
      </c>
      <c r="AK138" s="1423" t="n">
        <v>46285</v>
      </c>
      <c r="AL138" s="1423" t="str">
        <f>IFERROR(INDEX('برنامه خرد'!$I$2:$I$82,MATCH(Q138,'برنامه خرد'!$A$2:$A$82,0)),"")</f>
      </c>
      <c r="AM138" s="1423" t="n">
        <f>IF(AL138="",AN138,IF(T138="غلط یا کمتر از ۵۰٪",AL138+1,IF(T138="ناقص یا همراه با حدس",AL138+2,IF(T138="درست ولی کند و مردد",AL138+4,IF(T138="درست، سریع و کامل",IF(W138&gt;=2,AL138+IF(R138&lt;14,14,28),AL138+MIN(28,MAX(3,R138*2))),AN138)))))</f>
        <v>46258</v>
      </c>
      <c r="AN138" s="1423" t="n">
        <v>46258</v>
      </c>
      <c r="AO138" s="1423" t="n">
        <v>46317</v>
      </c>
    </row>
    <row r="139" ht="38" customHeight="1">
      <c r="A139" s="280" t="str">
        <v>U138</v>
      </c>
      <c r="B139" s="281" t="str">
        <v>روان‌شناسی رشد کرین</v>
      </c>
      <c r="C139" s="281" t="str">
        <v>روان‌شناسی رشد کرین</v>
      </c>
      <c r="D139" s="281" t="str">
        <v>4</v>
      </c>
      <c r="E139" s="281" t="str">
        <v>فلسفه تربیتی مونتسوری</v>
      </c>
      <c r="F139" s="281" t="str">
        <v>واحد مطالعه بر اساس بازهٔ صفحه</v>
      </c>
      <c r="G139" s="281" t="str">
        <v>۱۴۶ تا ۱۵۴</v>
      </c>
      <c r="H139" s="681" t="n">
        <v>9</v>
      </c>
      <c r="I139" s="281" t="str">
        <v>۱۴۰۵/۰۶/۰۲</v>
      </c>
      <c r="J139" s="684" t="n">
        <v>39.1</v>
      </c>
      <c r="K139" s="281" t="str">
        <v>۱۴۰۵/۰۶/۰۲</v>
      </c>
      <c r="L139" s="281" t="str">
        <v>۱۴۰۵/۰۶/۰۳</v>
      </c>
      <c r="M139" s="281" t="str">
        <v>۱۴۰۵/۰۶/۰۵</v>
      </c>
      <c r="N139" s="281" t="str">
        <v>۱۴۰۵/۰۶/۰۹</v>
      </c>
      <c r="O139" s="281" t="str">
        <v>۱۴۰۵/۰۶/۱۶</v>
      </c>
      <c r="P139" s="281" t="str">
        <v>۱۴۰۵/۰۶/۳۰</v>
      </c>
      <c r="Q139" s="411"/>
      <c r="R139" s="687" t="n">
        <v>1</v>
      </c>
      <c r="S139" s="687"/>
      <c r="T139" s="412"/>
      <c r="U139" s="412"/>
      <c r="V139" s="412"/>
      <c r="W139" s="687" t="str">
        <v>0</v>
      </c>
      <c r="X139" s="412" t="str">
        <v>خیر</v>
      </c>
      <c r="Y139" s="413" t="str">
        <v>خیر</v>
      </c>
      <c r="Z139" s="430" t="str">
        <f>IF(AM139="","",IF(AM139&gt;AO139,"تثبیت نهایی",IFERROR(INDEX('برنامه خرد'!$A$2:$A$82,MATCH(AM139,'برنامه خرد'!$I$2:$I$82,0)),"تثبیت نهایی")))</f>
        <v>۱۴۰۵/۰۶/۰۴</v>
      </c>
      <c r="AA139" s="431" t="str">
        <v>۱۴۰۵/۰۶/۰۴</v>
      </c>
      <c r="AB139" s="690" t="n">
        <f>IF(AM139="","",AM139-AN139)</f>
        <v>0</v>
      </c>
      <c r="AC139" s="431" t="str">
        <f>IF(AM139="","فاقد داده",IF(AM139&gt;AO139,"انتقال به تثبیت نهایی",IF(AM139&lt;TODAY(),"عقب‌افتاده",IF(AM139=TODAY(),"سررسید امروز","آینده"))))</f>
        <v>آینده</v>
      </c>
      <c r="AD139" s="432" t="str">
        <f>IF(OR(AM139&gt;AO139,Z139="تثبیت نهایی"),"بله","خیر")</f>
        <v>خیر</v>
      </c>
      <c r="AE139" s="436" t="str">
        <v>این فرمول فقط تاریخ پیشنهادی را محاسبه می‌کند و ردیف‌های برنامهٔ روزانه را خودکار جابه‌جا نمی‌کند.</v>
      </c>
      <c r="AF139" s="1423" t="n">
        <v>46258</v>
      </c>
      <c r="AG139" s="1423" t="n">
        <v>46259</v>
      </c>
      <c r="AH139" s="1423" t="n">
        <v>46261</v>
      </c>
      <c r="AI139" s="1423" t="n">
        <v>46265</v>
      </c>
      <c r="AJ139" s="1423" t="n">
        <v>46272</v>
      </c>
      <c r="AK139" s="1423" t="n">
        <v>46286</v>
      </c>
      <c r="AL139" s="1423" t="str">
        <f>IFERROR(INDEX('برنامه خرد'!$I$2:$I$82,MATCH(Q139,'برنامه خرد'!$A$2:$A$82,0)),"")</f>
      </c>
      <c r="AM139" s="1423" t="n">
        <f>IF(AL139="",AN139,IF(T139="غلط یا کمتر از ۵۰٪",AL139+1,IF(T139="ناقص یا همراه با حدس",AL139+2,IF(T139="درست ولی کند و مردد",AL139+4,IF(T139="درست، سریع و کامل",IF(W139&gt;=2,AL139+IF(R139&lt;14,14,28),AL139+MIN(28,MAX(3,R139*2))),AN139)))))</f>
        <v>46260</v>
      </c>
      <c r="AN139" s="1423" t="n">
        <v>46260</v>
      </c>
      <c r="AO139" s="1423" t="n">
        <v>46317</v>
      </c>
    </row>
    <row r="140" ht="38" customHeight="1">
      <c r="A140" s="366" t="str">
        <v>U139</v>
      </c>
      <c r="B140" s="367" t="str">
        <v>روان‌شناسی رشد کرین</v>
      </c>
      <c r="C140" s="367" t="str">
        <v>روان‌شناسی رشد کرین</v>
      </c>
      <c r="D140" s="367" t="str">
        <v>5</v>
      </c>
      <c r="E140" s="367" t="str">
        <v>نظریه ارگانیسمی و تطبیقی ورنر</v>
      </c>
      <c r="F140" s="367" t="str">
        <v>واحد مطالعه بر اساس بازهٔ صفحه</v>
      </c>
      <c r="G140" s="367" t="str">
        <v>۱۵۵ تا ۱۶۵</v>
      </c>
      <c r="H140" s="680" t="n">
        <v>11</v>
      </c>
      <c r="I140" s="367" t="str">
        <v>۱۴۰۵/۰۶/۰۲</v>
      </c>
      <c r="J140" s="683" t="n">
        <v>47.9</v>
      </c>
      <c r="K140" s="367" t="str">
        <v>۱۴۰۵/۰۶/۰۲</v>
      </c>
      <c r="L140" s="367" t="str">
        <v>۱۴۰۵/۰۶/۰۳</v>
      </c>
      <c r="M140" s="367" t="str">
        <v>۱۴۰۵/۰۶/۰۵</v>
      </c>
      <c r="N140" s="367" t="str">
        <v>۱۴۰۵/۰۶/۰۹</v>
      </c>
      <c r="O140" s="367" t="str">
        <v>۱۴۰۵/۰۶/۱۶</v>
      </c>
      <c r="P140" s="367" t="str">
        <v>۱۴۰۵/۰۶/۳۰</v>
      </c>
      <c r="Q140" s="411"/>
      <c r="R140" s="687" t="n">
        <v>1</v>
      </c>
      <c r="S140" s="687"/>
      <c r="T140" s="412"/>
      <c r="U140" s="412"/>
      <c r="V140" s="412"/>
      <c r="W140" s="687" t="str">
        <v>0</v>
      </c>
      <c r="X140" s="412" t="str">
        <v>خیر</v>
      </c>
      <c r="Y140" s="413" t="str">
        <v>خیر</v>
      </c>
      <c r="Z140" s="430" t="str">
        <f>IF(AM140="","",IF(AM140&gt;AO140,"تثبیت نهایی",IFERROR(INDEX('برنامه خرد'!$A$2:$A$82,MATCH(AM140,'برنامه خرد'!$I$2:$I$82,0)),"تثبیت نهایی")))</f>
        <v>۱۴۰۵/۰۶/۰۴</v>
      </c>
      <c r="AA140" s="431" t="str">
        <v>۱۴۰۵/۰۶/۰۴</v>
      </c>
      <c r="AB140" s="690" t="n">
        <f>IF(AM140="","",AM140-AN140)</f>
        <v>0</v>
      </c>
      <c r="AC140" s="431" t="str">
        <f>IF(AM140="","فاقد داده",IF(AM140&gt;AO140,"انتقال به تثبیت نهایی",IF(AM140&lt;TODAY(),"عقب‌افتاده",IF(AM140=TODAY(),"سررسید امروز","آینده"))))</f>
        <v>آینده</v>
      </c>
      <c r="AD140" s="432" t="str">
        <f>IF(OR(AM140&gt;AO140,Z140="تثبیت نهایی"),"بله","خیر")</f>
        <v>خیر</v>
      </c>
      <c r="AE140" s="436" t="str">
        <v>این فرمول فقط تاریخ پیشنهادی را محاسبه می‌کند و ردیف‌های برنامهٔ روزانه را خودکار جابه‌جا نمی‌کند.</v>
      </c>
      <c r="AF140" s="1423" t="n">
        <v>46258</v>
      </c>
      <c r="AG140" s="1423" t="n">
        <v>46259</v>
      </c>
      <c r="AH140" s="1423" t="n">
        <v>46261</v>
      </c>
      <c r="AI140" s="1423" t="n">
        <v>46265</v>
      </c>
      <c r="AJ140" s="1423" t="n">
        <v>46272</v>
      </c>
      <c r="AK140" s="1423" t="n">
        <v>46286</v>
      </c>
      <c r="AL140" s="1423" t="str">
        <f>IFERROR(INDEX('برنامه خرد'!$I$2:$I$82,MATCH(Q140,'برنامه خرد'!$A$2:$A$82,0)),"")</f>
      </c>
      <c r="AM140" s="1423" t="n">
        <f>IF(AL140="",AN140,IF(T140="غلط یا کمتر از ۵۰٪",AL140+1,IF(T140="ناقص یا همراه با حدس",AL140+2,IF(T140="درست ولی کند و مردد",AL140+4,IF(T140="درست، سریع و کامل",IF(W140&gt;=2,AL140+IF(R140&lt;14,14,28),AL140+MIN(28,MAX(3,R140*2))),AN140)))))</f>
        <v>46260</v>
      </c>
      <c r="AN140" s="1423" t="n">
        <v>46260</v>
      </c>
      <c r="AO140" s="1423" t="n">
        <v>46317</v>
      </c>
    </row>
    <row r="141" ht="38" customHeight="1">
      <c r="A141" s="280" t="str">
        <v>U140</v>
      </c>
      <c r="B141" s="281" t="str">
        <v>روان‌شناسی رشد کرین</v>
      </c>
      <c r="C141" s="281" t="str">
        <v>روان‌شناسی رشد کرین</v>
      </c>
      <c r="D141" s="281" t="str">
        <v>5</v>
      </c>
      <c r="E141" s="281" t="str">
        <v>نظریه ارگانیسمی و تطبیقی ورنر</v>
      </c>
      <c r="F141" s="281" t="str">
        <v>واحد مطالعه بر اساس بازهٔ صفحه</v>
      </c>
      <c r="G141" s="281" t="str">
        <v>۱۶۶ تا ۱۸۵</v>
      </c>
      <c r="H141" s="681" t="n">
        <v>20</v>
      </c>
      <c r="I141" s="281" t="str">
        <v>۱۴۰۵/۰۶/۰۴</v>
      </c>
      <c r="J141" s="684" t="n">
        <v>87</v>
      </c>
      <c r="K141" s="281" t="str">
        <v>۱۴۰۵/۰۶/۰۴</v>
      </c>
      <c r="L141" s="281" t="str">
        <v>۱۴۰۵/۰۶/۰۵</v>
      </c>
      <c r="M141" s="281" t="str">
        <v>۱۴۰۵/۰۶/۰۷</v>
      </c>
      <c r="N141" s="281" t="str">
        <v>۱۴۰۵/۰۶/۱۱</v>
      </c>
      <c r="O141" s="281" t="str">
        <v>۱۴۰۵/۰۶/۱۸</v>
      </c>
      <c r="P141" s="281" t="str">
        <v>۱۴۰۵/۰۷/۰۱</v>
      </c>
      <c r="Q141" s="411"/>
      <c r="R141" s="687" t="n">
        <v>1</v>
      </c>
      <c r="S141" s="687"/>
      <c r="T141" s="412"/>
      <c r="U141" s="412"/>
      <c r="V141" s="412"/>
      <c r="W141" s="687" t="str">
        <v>0</v>
      </c>
      <c r="X141" s="412" t="str">
        <v>خیر</v>
      </c>
      <c r="Y141" s="413" t="str">
        <v>خیر</v>
      </c>
      <c r="Z141" s="430" t="str">
        <f>IF(AM141="","",IF(AM141&gt;AO141,"تثبیت نهایی",IFERROR(INDEX('برنامه خرد'!$A$2:$A$82,MATCH(AM141,'برنامه خرد'!$I$2:$I$82,0)),"تثبیت نهایی")))</f>
        <v>۱۴۰۵/۰۶/۰۴</v>
      </c>
      <c r="AA141" s="431" t="str">
        <v>۱۴۰۵/۰۶/۰۴</v>
      </c>
      <c r="AB141" s="690" t="n">
        <f>IF(AM141="","",AM141-AN141)</f>
        <v>0</v>
      </c>
      <c r="AC141" s="431" t="str">
        <f>IF(AM141="","فاقد داده",IF(AM141&gt;AO141,"انتقال به تثبیت نهایی",IF(AM141&lt;TODAY(),"عقب‌افتاده",IF(AM141=TODAY(),"سررسید امروز","آینده"))))</f>
        <v>آینده</v>
      </c>
      <c r="AD141" s="432" t="str">
        <f>IF(OR(AM141&gt;AO141,Z141="تثبیت نهایی"),"بله","خیر")</f>
        <v>خیر</v>
      </c>
      <c r="AE141" s="436" t="str">
        <v>این فرمول فقط تاریخ پیشنهادی را محاسبه می‌کند و ردیف‌های برنامهٔ روزانه را خودکار جابه‌جا نمی‌کند.</v>
      </c>
      <c r="AF141" s="1423" t="n">
        <v>46260</v>
      </c>
      <c r="AG141" s="1423" t="n">
        <v>46261</v>
      </c>
      <c r="AH141" s="1423" t="n">
        <v>46263</v>
      </c>
      <c r="AI141" s="1423" t="n">
        <v>46267</v>
      </c>
      <c r="AJ141" s="1423" t="n">
        <v>46274</v>
      </c>
      <c r="AK141" s="1423" t="n">
        <v>46288</v>
      </c>
      <c r="AL141" s="1423" t="str">
        <f>IFERROR(INDEX('برنامه خرد'!$I$2:$I$82,MATCH(Q141,'برنامه خرد'!$A$2:$A$82,0)),"")</f>
      </c>
      <c r="AM141" s="1423" t="n">
        <f>IF(AL141="",AN141,IF(T141="غلط یا کمتر از ۵۰٪",AL141+1,IF(T141="ناقص یا همراه با حدس",AL141+2,IF(T141="درست ولی کند و مردد",AL141+4,IF(T141="درست، سریع و کامل",IF(W141&gt;=2,AL141+IF(R141&lt;14,14,28),AL141+MIN(28,MAX(3,R141*2))),AN141)))))</f>
        <v>46260</v>
      </c>
      <c r="AN141" s="1423" t="n">
        <v>46260</v>
      </c>
      <c r="AO141" s="1423" t="n">
        <v>46317</v>
      </c>
    </row>
    <row r="142" ht="38" customHeight="1">
      <c r="A142" s="366" t="str">
        <v>U141</v>
      </c>
      <c r="B142" s="367" t="str">
        <v>روان‌شناسی رشد کرین</v>
      </c>
      <c r="C142" s="367" t="str">
        <v>روان‌شناسی رشد کرین</v>
      </c>
      <c r="D142" s="367" t="str">
        <v>5</v>
      </c>
      <c r="E142" s="367" t="str">
        <v>نظریه ارگانیسمی و تطبیقی ورنر</v>
      </c>
      <c r="F142" s="367" t="str">
        <v>واحد مطالعه بر اساس بازهٔ صفحه</v>
      </c>
      <c r="G142" s="367" t="str">
        <v>۱۸۶ تا ۱۹۰</v>
      </c>
      <c r="H142" s="680" t="n">
        <v>5</v>
      </c>
      <c r="I142" s="367" t="str">
        <v>۱۴۰۵/۰۶/۰۷</v>
      </c>
      <c r="J142" s="683" t="n">
        <v>21.8</v>
      </c>
      <c r="K142" s="367" t="str">
        <v>۱۴۰۵/۰۶/۰۷</v>
      </c>
      <c r="L142" s="367" t="str">
        <v>۱۴۰۵/۰۶/۰۸</v>
      </c>
      <c r="M142" s="367" t="str">
        <v>۱۴۰۵/۰۶/۱۰</v>
      </c>
      <c r="N142" s="367" t="str">
        <v>۱۴۰۵/۰۶/۱۴</v>
      </c>
      <c r="O142" s="367" t="str">
        <v>۱۴۰۵/۰۶/۲۱</v>
      </c>
      <c r="P142" s="367" t="str">
        <v>۱۴۰۵/۰۷/۰۴</v>
      </c>
      <c r="Q142" s="411"/>
      <c r="R142" s="687" t="n">
        <v>1</v>
      </c>
      <c r="S142" s="687"/>
      <c r="T142" s="412"/>
      <c r="U142" s="412"/>
      <c r="V142" s="412"/>
      <c r="W142" s="687" t="str">
        <v>0</v>
      </c>
      <c r="X142" s="412" t="str">
        <v>خیر</v>
      </c>
      <c r="Y142" s="413" t="str">
        <v>خیر</v>
      </c>
      <c r="Z142" s="430" t="str">
        <f>IF(AM142="","",IF(AM142&gt;AO142,"تثبیت نهایی",IFERROR(INDEX('برنامه خرد'!$A$2:$A$82,MATCH(AM142,'برنامه خرد'!$I$2:$I$82,0)),"تثبیت نهایی")))</f>
        <v>۱۴۰۵/۰۶/۰۹</v>
      </c>
      <c r="AA142" s="431" t="str">
        <v>۱۴۰۵/۰۶/۰۹</v>
      </c>
      <c r="AB142" s="690" t="n">
        <f>IF(AM142="","",AM142-AN142)</f>
        <v>0</v>
      </c>
      <c r="AC142" s="431" t="str">
        <f>IF(AM142="","فاقد داده",IF(AM142&gt;AO142,"انتقال به تثبیت نهایی",IF(AM142&lt;TODAY(),"عقب‌افتاده",IF(AM142=TODAY(),"سررسید امروز","آینده"))))</f>
        <v>آینده</v>
      </c>
      <c r="AD142" s="432" t="str">
        <f>IF(OR(AM142&gt;AO142,Z142="تثبیت نهایی"),"بله","خیر")</f>
        <v>خیر</v>
      </c>
      <c r="AE142" s="436" t="str">
        <v>این فرمول فقط تاریخ پیشنهادی را محاسبه می‌کند و ردیف‌های برنامهٔ روزانه را خودکار جابه‌جا نمی‌کند.</v>
      </c>
      <c r="AF142" s="1423" t="n">
        <v>46263</v>
      </c>
      <c r="AG142" s="1423" t="n">
        <v>46264</v>
      </c>
      <c r="AH142" s="1423" t="n">
        <v>46266</v>
      </c>
      <c r="AI142" s="1423" t="n">
        <v>46270</v>
      </c>
      <c r="AJ142" s="1423" t="n">
        <v>46277</v>
      </c>
      <c r="AK142" s="1423" t="n">
        <v>46291</v>
      </c>
      <c r="AL142" s="1423" t="str">
        <f>IFERROR(INDEX('برنامه خرد'!$I$2:$I$82,MATCH(Q142,'برنامه خرد'!$A$2:$A$82,0)),"")</f>
      </c>
      <c r="AM142" s="1423" t="n">
        <f>IF(AL142="",AN142,IF(T142="غلط یا کمتر از ۵۰٪",AL142+1,IF(T142="ناقص یا همراه با حدس",AL142+2,IF(T142="درست ولی کند و مردد",AL142+4,IF(T142="درست، سریع و کامل",IF(W142&gt;=2,AL142+IF(R142&lt;14,14,28),AL142+MIN(28,MAX(3,R142*2))),AN142)))))</f>
        <v>46265</v>
      </c>
      <c r="AN142" s="1423" t="n">
        <v>46265</v>
      </c>
      <c r="AO142" s="1423" t="n">
        <v>46317</v>
      </c>
    </row>
    <row r="143" ht="38" customHeight="1">
      <c r="A143" s="280" t="str">
        <v>U142</v>
      </c>
      <c r="B143" s="281" t="str">
        <v>روان‌شناسی رشد کرین</v>
      </c>
      <c r="C143" s="281" t="str">
        <v>روان‌شناسی رشد کرین</v>
      </c>
      <c r="D143" s="281" t="str">
        <v>6</v>
      </c>
      <c r="E143" s="281" t="str">
        <v>نظریه رشدی ـ شناختی پیاژه</v>
      </c>
      <c r="F143" s="281" t="str">
        <v>واحد مطالعه بر اساس بازهٔ صفحه</v>
      </c>
      <c r="G143" s="281" t="str">
        <v>۱۹۱ تا ۲۰۵</v>
      </c>
      <c r="H143" s="681" t="n">
        <v>15</v>
      </c>
      <c r="I143" s="281" t="str">
        <v>۱۴۰۵/۰۶/۰۷</v>
      </c>
      <c r="J143" s="684" t="n">
        <v>65.2</v>
      </c>
      <c r="K143" s="281" t="str">
        <v>۱۴۰۵/۰۶/۰۷</v>
      </c>
      <c r="L143" s="281" t="str">
        <v>۱۴۰۵/۰۶/۰۸</v>
      </c>
      <c r="M143" s="281" t="str">
        <v>۱۴۰۵/۰۶/۱۰</v>
      </c>
      <c r="N143" s="281" t="str">
        <v>۱۴۰۵/۰۶/۱۴</v>
      </c>
      <c r="O143" s="281" t="str">
        <v>۱۴۰۵/۰۶/۲۱</v>
      </c>
      <c r="P143" s="281" t="str">
        <v>۱۴۰۵/۰۷/۰۴</v>
      </c>
      <c r="Q143" s="411"/>
      <c r="R143" s="687" t="n">
        <v>1</v>
      </c>
      <c r="S143" s="687"/>
      <c r="T143" s="412"/>
      <c r="U143" s="412"/>
      <c r="V143" s="412"/>
      <c r="W143" s="687" t="str">
        <v>0</v>
      </c>
      <c r="X143" s="412" t="str">
        <v>خیر</v>
      </c>
      <c r="Y143" s="413" t="str">
        <v>خیر</v>
      </c>
      <c r="Z143" s="430" t="str">
        <f>IF(AM143="","",IF(AM143&gt;AO143,"تثبیت نهایی",IFERROR(INDEX('برنامه خرد'!$A$2:$A$82,MATCH(AM143,'برنامه خرد'!$I$2:$I$82,0)),"تثبیت نهایی")))</f>
        <v>۱۴۰۵/۰۶/۰۹</v>
      </c>
      <c r="AA143" s="431" t="str">
        <v>۱۴۰۵/۰۶/۰۹</v>
      </c>
      <c r="AB143" s="690" t="n">
        <f>IF(AM143="","",AM143-AN143)</f>
        <v>0</v>
      </c>
      <c r="AC143" s="431" t="str">
        <f>IF(AM143="","فاقد داده",IF(AM143&gt;AO143,"انتقال به تثبیت نهایی",IF(AM143&lt;TODAY(),"عقب‌افتاده",IF(AM143=TODAY(),"سررسید امروز","آینده"))))</f>
        <v>آینده</v>
      </c>
      <c r="AD143" s="432" t="str">
        <f>IF(OR(AM143&gt;AO143,Z143="تثبیت نهایی"),"بله","خیر")</f>
        <v>خیر</v>
      </c>
      <c r="AE143" s="436" t="str">
        <v>این فرمول فقط تاریخ پیشنهادی را محاسبه می‌کند و ردیف‌های برنامهٔ روزانه را خودکار جابه‌جا نمی‌کند.</v>
      </c>
      <c r="AF143" s="1423" t="n">
        <v>46263</v>
      </c>
      <c r="AG143" s="1423" t="n">
        <v>46264</v>
      </c>
      <c r="AH143" s="1423" t="n">
        <v>46266</v>
      </c>
      <c r="AI143" s="1423" t="n">
        <v>46270</v>
      </c>
      <c r="AJ143" s="1423" t="n">
        <v>46277</v>
      </c>
      <c r="AK143" s="1423" t="n">
        <v>46291</v>
      </c>
      <c r="AL143" s="1423" t="str">
        <f>IFERROR(INDEX('برنامه خرد'!$I$2:$I$82,MATCH(Q143,'برنامه خرد'!$A$2:$A$82,0)),"")</f>
      </c>
      <c r="AM143" s="1423" t="n">
        <f>IF(AL143="",AN143,IF(T143="غلط یا کمتر از ۵۰٪",AL143+1,IF(T143="ناقص یا همراه با حدس",AL143+2,IF(T143="درست ولی کند و مردد",AL143+4,IF(T143="درست، سریع و کامل",IF(W143&gt;=2,AL143+IF(R143&lt;14,14,28),AL143+MIN(28,MAX(3,R143*2))),AN143)))))</f>
        <v>46265</v>
      </c>
      <c r="AN143" s="1423" t="n">
        <v>46265</v>
      </c>
      <c r="AO143" s="1423" t="n">
        <v>46317</v>
      </c>
    </row>
    <row r="144" ht="38" customHeight="1">
      <c r="A144" s="366" t="str">
        <v>U143</v>
      </c>
      <c r="B144" s="367" t="str">
        <v>روان‌شناسی رشد کرین</v>
      </c>
      <c r="C144" s="367" t="str">
        <v>روان‌شناسی رشد کرین</v>
      </c>
      <c r="D144" s="367" t="str">
        <v>6</v>
      </c>
      <c r="E144" s="367" t="str">
        <v>نظریه رشدی ـ شناختی پیاژه</v>
      </c>
      <c r="F144" s="367" t="str">
        <v>واحد مطالعه بر اساس بازهٔ صفحه</v>
      </c>
      <c r="G144" s="367" t="str">
        <v>۲۰۶ تا ۲۲۵</v>
      </c>
      <c r="H144" s="680" t="n">
        <v>20</v>
      </c>
      <c r="I144" s="367" t="str">
        <v>۱۴۰۵/۰۶/۰۹</v>
      </c>
      <c r="J144" s="683" t="n">
        <v>87</v>
      </c>
      <c r="K144" s="367" t="str">
        <v>۱۴۰۵/۰۶/۰۹</v>
      </c>
      <c r="L144" s="367" t="str">
        <v>۱۴۰۵/۰۶/۱۰</v>
      </c>
      <c r="M144" s="367" t="str">
        <v>۱۴۰۵/۰۶/۱۲</v>
      </c>
      <c r="N144" s="367" t="str">
        <v>۱۴۰۵/۰۶/۱۶</v>
      </c>
      <c r="O144" s="367" t="str">
        <v>۱۴۰۵/۰۶/۲۳</v>
      </c>
      <c r="P144" s="367" t="str">
        <v>۱۴۰۵/۰۷/۰۶</v>
      </c>
      <c r="Q144" s="411"/>
      <c r="R144" s="687" t="n">
        <v>1</v>
      </c>
      <c r="S144" s="687"/>
      <c r="T144" s="412"/>
      <c r="U144" s="412"/>
      <c r="V144" s="412"/>
      <c r="W144" s="687" t="str">
        <v>0</v>
      </c>
      <c r="X144" s="412" t="str">
        <v>خیر</v>
      </c>
      <c r="Y144" s="413" t="str">
        <v>خیر</v>
      </c>
      <c r="Z144" s="430" t="str">
        <f>IF(AM144="","",IF(AM144&gt;AO144,"تثبیت نهایی",IFERROR(INDEX('برنامه خرد'!$A$2:$A$82,MATCH(AM144,'برنامه خرد'!$I$2:$I$82,0)),"تثبیت نهایی")))</f>
        <v>۱۴۰۵/۰۶/۱۱</v>
      </c>
      <c r="AA144" s="431" t="str">
        <v>۱۴۰۵/۰۶/۱۱</v>
      </c>
      <c r="AB144" s="690" t="n">
        <f>IF(AM144="","",AM144-AN144)</f>
        <v>0</v>
      </c>
      <c r="AC144" s="431" t="str">
        <f>IF(AM144="","فاقد داده",IF(AM144&gt;AO144,"انتقال به تثبیت نهایی",IF(AM144&lt;TODAY(),"عقب‌افتاده",IF(AM144=TODAY(),"سررسید امروز","آینده"))))</f>
        <v>آینده</v>
      </c>
      <c r="AD144" s="432" t="str">
        <f>IF(OR(AM144&gt;AO144,Z144="تثبیت نهایی"),"بله","خیر")</f>
        <v>خیر</v>
      </c>
      <c r="AE144" s="436" t="str">
        <v>این فرمول فقط تاریخ پیشنهادی را محاسبه می‌کند و ردیف‌های برنامهٔ روزانه را خودکار جابه‌جا نمی‌کند.</v>
      </c>
      <c r="AF144" s="1423" t="n">
        <v>46265</v>
      </c>
      <c r="AG144" s="1423" t="n">
        <v>46266</v>
      </c>
      <c r="AH144" s="1423" t="n">
        <v>46268</v>
      </c>
      <c r="AI144" s="1423" t="n">
        <v>46272</v>
      </c>
      <c r="AJ144" s="1423" t="n">
        <v>46279</v>
      </c>
      <c r="AK144" s="1423" t="n">
        <v>46293</v>
      </c>
      <c r="AL144" s="1423" t="str">
        <f>IFERROR(INDEX('برنامه خرد'!$I$2:$I$82,MATCH(Q144,'برنامه خرد'!$A$2:$A$82,0)),"")</f>
      </c>
      <c r="AM144" s="1423" t="n">
        <f>IF(AL144="",AN144,IF(T144="غلط یا کمتر از ۵۰٪",AL144+1,IF(T144="ناقص یا همراه با حدس",AL144+2,IF(T144="درست ولی کند و مردد",AL144+4,IF(T144="درست، سریع و کامل",IF(W144&gt;=2,AL144+IF(R144&lt;14,14,28),AL144+MIN(28,MAX(3,R144*2))),AN144)))))</f>
        <v>46267</v>
      </c>
      <c r="AN144" s="1423" t="n">
        <v>46267</v>
      </c>
      <c r="AO144" s="1423" t="n">
        <v>46317</v>
      </c>
    </row>
    <row r="145" ht="38" customHeight="1">
      <c r="A145" s="280" t="str">
        <v>U144</v>
      </c>
      <c r="B145" s="281" t="str">
        <v>روان‌شناسی رشد کرین</v>
      </c>
      <c r="C145" s="281" t="str">
        <v>روان‌شناسی رشد کرین</v>
      </c>
      <c r="D145" s="281" t="str">
        <v>6</v>
      </c>
      <c r="E145" s="281" t="str">
        <v>نظریه رشدی ـ شناختی پیاژه</v>
      </c>
      <c r="F145" s="281" t="str">
        <v>واحد مطالعه بر اساس بازهٔ صفحه</v>
      </c>
      <c r="G145" s="281" t="str">
        <v>۲۲۶ تا ۲۴۵</v>
      </c>
      <c r="H145" s="681" t="n">
        <v>20</v>
      </c>
      <c r="I145" s="281" t="str">
        <v>۱۴۰۵/۰۶/۱۱</v>
      </c>
      <c r="J145" s="684" t="n">
        <v>87</v>
      </c>
      <c r="K145" s="281" t="str">
        <v>۱۴۰۵/۰۶/۱۱</v>
      </c>
      <c r="L145" s="281" t="str">
        <v>۱۴۰۵/۰۶/۱۲</v>
      </c>
      <c r="M145" s="281" t="str">
        <v>۱۴۰۵/۰۶/۱۴</v>
      </c>
      <c r="N145" s="281" t="str">
        <v>۱۴۰۵/۰۶/۱۸</v>
      </c>
      <c r="O145" s="281" t="str">
        <v>۱۴۰۵/۰۶/۲۵</v>
      </c>
      <c r="P145" s="281" t="str">
        <v>۱۴۰۵/۰۷/۰۸</v>
      </c>
      <c r="Q145" s="411"/>
      <c r="R145" s="687" t="n">
        <v>1</v>
      </c>
      <c r="S145" s="687"/>
      <c r="T145" s="412"/>
      <c r="U145" s="412"/>
      <c r="V145" s="412"/>
      <c r="W145" s="687" t="str">
        <v>0</v>
      </c>
      <c r="X145" s="412" t="str">
        <v>خیر</v>
      </c>
      <c r="Y145" s="413" t="str">
        <v>خیر</v>
      </c>
      <c r="Z145" s="430" t="str">
        <f>IF(AM145="","",IF(AM145&gt;AO145,"تثبیت نهایی",IFERROR(INDEX('برنامه خرد'!$A$2:$A$82,MATCH(AM145,'برنامه خرد'!$I$2:$I$82,0)),"تثبیت نهایی")))</f>
        <v>۱۴۰۵/۰۶/۱۱</v>
      </c>
      <c r="AA145" s="431" t="str">
        <v>۱۴۰۵/۰۶/۱۱</v>
      </c>
      <c r="AB145" s="690" t="n">
        <f>IF(AM145="","",AM145-AN145)</f>
        <v>0</v>
      </c>
      <c r="AC145" s="431" t="str">
        <f>IF(AM145="","فاقد داده",IF(AM145&gt;AO145,"انتقال به تثبیت نهایی",IF(AM145&lt;TODAY(),"عقب‌افتاده",IF(AM145=TODAY(),"سررسید امروز","آینده"))))</f>
        <v>آینده</v>
      </c>
      <c r="AD145" s="432" t="str">
        <f>IF(OR(AM145&gt;AO145,Z145="تثبیت نهایی"),"بله","خیر")</f>
        <v>خیر</v>
      </c>
      <c r="AE145" s="436" t="str">
        <v>این فرمول فقط تاریخ پیشنهادی را محاسبه می‌کند و ردیف‌های برنامهٔ روزانه را خودکار جابه‌جا نمی‌کند.</v>
      </c>
      <c r="AF145" s="1423" t="n">
        <v>46267</v>
      </c>
      <c r="AG145" s="1423" t="n">
        <v>46268</v>
      </c>
      <c r="AH145" s="1423" t="n">
        <v>46270</v>
      </c>
      <c r="AI145" s="1423" t="n">
        <v>46274</v>
      </c>
      <c r="AJ145" s="1423" t="n">
        <v>46281</v>
      </c>
      <c r="AK145" s="1423" t="n">
        <v>46295</v>
      </c>
      <c r="AL145" s="1423" t="str">
        <f>IFERROR(INDEX('برنامه خرد'!$I$2:$I$82,MATCH(Q145,'برنامه خرد'!$A$2:$A$82,0)),"")</f>
      </c>
      <c r="AM145" s="1423" t="n">
        <f>IF(AL145="",AN145,IF(T145="غلط یا کمتر از ۵۰٪",AL145+1,IF(T145="ناقص یا همراه با حدس",AL145+2,IF(T145="درست ولی کند و مردد",AL145+4,IF(T145="درست، سریع و کامل",IF(W145&gt;=2,AL145+IF(R145&lt;14,14,28),AL145+MIN(28,MAX(3,R145*2))),AN145)))))</f>
        <v>46267</v>
      </c>
      <c r="AN145" s="1423" t="n">
        <v>46267</v>
      </c>
      <c r="AO145" s="1423" t="n">
        <v>46317</v>
      </c>
    </row>
    <row r="146" ht="38" customHeight="1">
      <c r="A146" s="366" t="str">
        <v>U145</v>
      </c>
      <c r="B146" s="367" t="str">
        <v>روان‌شناسی رشد کرین</v>
      </c>
      <c r="C146" s="367" t="str">
        <v>روان‌شناسی رشد کرین</v>
      </c>
      <c r="D146" s="367" t="str">
        <v>6</v>
      </c>
      <c r="E146" s="367" t="str">
        <v>نظریه رشدی ـ شناختی پیاژه</v>
      </c>
      <c r="F146" s="367" t="str">
        <v>واحد مطالعه بر اساس بازهٔ صفحه</v>
      </c>
      <c r="G146" s="367" t="str">
        <v>۲۴۶ تا ۲۴۶</v>
      </c>
      <c r="H146" s="680" t="n">
        <v>1</v>
      </c>
      <c r="I146" s="367" t="str">
        <v>۱۴۰۵/۰۶/۱۴</v>
      </c>
      <c r="J146" s="683" t="n">
        <v>4.3</v>
      </c>
      <c r="K146" s="367" t="str">
        <v>۱۴۰۵/۰۶/۱۴</v>
      </c>
      <c r="L146" s="367" t="str">
        <v>۱۴۰۵/۰۶/۱۵</v>
      </c>
      <c r="M146" s="367" t="str">
        <v>۱۴۰۵/۰۶/۱۷</v>
      </c>
      <c r="N146" s="367" t="str">
        <v>۱۴۰۵/۰۶/۲۱</v>
      </c>
      <c r="O146" s="367" t="str">
        <v>۱۴۰۵/۰۶/۲۸</v>
      </c>
      <c r="P146" s="367" t="str">
        <v>۱۴۰۵/۰۷/۱۱</v>
      </c>
      <c r="Q146" s="411"/>
      <c r="R146" s="687" t="n">
        <v>1</v>
      </c>
      <c r="S146" s="687"/>
      <c r="T146" s="412"/>
      <c r="U146" s="412"/>
      <c r="V146" s="412"/>
      <c r="W146" s="687" t="str">
        <v>0</v>
      </c>
      <c r="X146" s="412" t="str">
        <v>خیر</v>
      </c>
      <c r="Y146" s="413" t="str">
        <v>خیر</v>
      </c>
      <c r="Z146" s="430" t="str">
        <f>IF(AM146="","",IF(AM146&gt;AO146,"تثبیت نهایی",IFERROR(INDEX('برنامه خرد'!$A$2:$A$82,MATCH(AM146,'برنامه خرد'!$I$2:$I$82,0)),"تثبیت نهایی")))</f>
        <v>۱۴۰۵/۰۶/۱۶</v>
      </c>
      <c r="AA146" s="431" t="str">
        <v>۱۴۰۵/۰۶/۱۶</v>
      </c>
      <c r="AB146" s="690" t="n">
        <f>IF(AM146="","",AM146-AN146)</f>
        <v>0</v>
      </c>
      <c r="AC146" s="431" t="str">
        <f>IF(AM146="","فاقد داده",IF(AM146&gt;AO146,"انتقال به تثبیت نهایی",IF(AM146&lt;TODAY(),"عقب‌افتاده",IF(AM146=TODAY(),"سررسید امروز","آینده"))))</f>
        <v>آینده</v>
      </c>
      <c r="AD146" s="432" t="str">
        <f>IF(OR(AM146&gt;AO146,Z146="تثبیت نهایی"),"بله","خیر")</f>
        <v>خیر</v>
      </c>
      <c r="AE146" s="436" t="str">
        <v>این فرمول فقط تاریخ پیشنهادی را محاسبه می‌کند و ردیف‌های برنامهٔ روزانه را خودکار جابه‌جا نمی‌کند.</v>
      </c>
      <c r="AF146" s="1423" t="n">
        <v>46270</v>
      </c>
      <c r="AG146" s="1423" t="n">
        <v>46271</v>
      </c>
      <c r="AH146" s="1423" t="n">
        <v>46273</v>
      </c>
      <c r="AI146" s="1423" t="n">
        <v>46277</v>
      </c>
      <c r="AJ146" s="1423" t="n">
        <v>46284</v>
      </c>
      <c r="AK146" s="1423" t="n">
        <v>46298</v>
      </c>
      <c r="AL146" s="1423" t="str">
        <f>IFERROR(INDEX('برنامه خرد'!$I$2:$I$82,MATCH(Q146,'برنامه خرد'!$A$2:$A$82,0)),"")</f>
      </c>
      <c r="AM146" s="1423" t="n">
        <f>IF(AL146="",AN146,IF(T146="غلط یا کمتر از ۵۰٪",AL146+1,IF(T146="ناقص یا همراه با حدس",AL146+2,IF(T146="درست ولی کند و مردد",AL146+4,IF(T146="درست، سریع و کامل",IF(W146&gt;=2,AL146+IF(R146&lt;14,14,28),AL146+MIN(28,MAX(3,R146*2))),AN146)))))</f>
        <v>46272</v>
      </c>
      <c r="AN146" s="1423" t="n">
        <v>46272</v>
      </c>
      <c r="AO146" s="1423" t="n">
        <v>46317</v>
      </c>
    </row>
    <row r="147" ht="38" customHeight="1">
      <c r="A147" s="280" t="str">
        <v>U146</v>
      </c>
      <c r="B147" s="281" t="str">
        <v>روان‌شناسی رشد کرین</v>
      </c>
      <c r="C147" s="281" t="str">
        <v>روان‌شناسی رشد کرین</v>
      </c>
      <c r="D147" s="281" t="str">
        <v>7</v>
      </c>
      <c r="E147" s="281" t="str">
        <v>مراحل رشد اخلاقی کلبرگ</v>
      </c>
      <c r="F147" s="281" t="str">
        <v>واحد مطالعه بر اساس بازهٔ صفحه</v>
      </c>
      <c r="G147" s="281" t="str">
        <v>۲۴۷ تا ۲۶۵</v>
      </c>
      <c r="H147" s="681" t="n">
        <v>19</v>
      </c>
      <c r="I147" s="281" t="str">
        <v>۱۴۰۵/۰۶/۱۴</v>
      </c>
      <c r="J147" s="684" t="n">
        <v>82.7</v>
      </c>
      <c r="K147" s="281" t="str">
        <v>۱۴۰۵/۰۶/۱۴</v>
      </c>
      <c r="L147" s="281" t="str">
        <v>۱۴۰۵/۰۶/۱۵</v>
      </c>
      <c r="M147" s="281" t="str">
        <v>۱۴۰۵/۰۶/۱۷</v>
      </c>
      <c r="N147" s="281" t="str">
        <v>۱۴۰۵/۰۶/۲۱</v>
      </c>
      <c r="O147" s="281" t="str">
        <v>۱۴۰۵/۰۶/۲۸</v>
      </c>
      <c r="P147" s="281" t="str">
        <v>۱۴۰۵/۰۷/۱۱</v>
      </c>
      <c r="Q147" s="411"/>
      <c r="R147" s="687" t="n">
        <v>1</v>
      </c>
      <c r="S147" s="687"/>
      <c r="T147" s="412"/>
      <c r="U147" s="412"/>
      <c r="V147" s="412"/>
      <c r="W147" s="687" t="str">
        <v>0</v>
      </c>
      <c r="X147" s="412" t="str">
        <v>خیر</v>
      </c>
      <c r="Y147" s="413" t="str">
        <v>خیر</v>
      </c>
      <c r="Z147" s="430" t="str">
        <f>IF(AM147="","",IF(AM147&gt;AO147,"تثبیت نهایی",IFERROR(INDEX('برنامه خرد'!$A$2:$A$82,MATCH(AM147,'برنامه خرد'!$I$2:$I$82,0)),"تثبیت نهایی")))</f>
        <v>۱۴۰۵/۰۶/۱۶</v>
      </c>
      <c r="AA147" s="431" t="str">
        <v>۱۴۰۵/۰۶/۱۶</v>
      </c>
      <c r="AB147" s="690" t="n">
        <f>IF(AM147="","",AM147-AN147)</f>
        <v>0</v>
      </c>
      <c r="AC147" s="431" t="str">
        <f>IF(AM147="","فاقد داده",IF(AM147&gt;AO147,"انتقال به تثبیت نهایی",IF(AM147&lt;TODAY(),"عقب‌افتاده",IF(AM147=TODAY(),"سررسید امروز","آینده"))))</f>
        <v>آینده</v>
      </c>
      <c r="AD147" s="432" t="str">
        <f>IF(OR(AM147&gt;AO147,Z147="تثبیت نهایی"),"بله","خیر")</f>
        <v>خیر</v>
      </c>
      <c r="AE147" s="436" t="str">
        <v>این فرمول فقط تاریخ پیشنهادی را محاسبه می‌کند و ردیف‌های برنامهٔ روزانه را خودکار جابه‌جا نمی‌کند.</v>
      </c>
      <c r="AF147" s="1423" t="n">
        <v>46270</v>
      </c>
      <c r="AG147" s="1423" t="n">
        <v>46271</v>
      </c>
      <c r="AH147" s="1423" t="n">
        <v>46273</v>
      </c>
      <c r="AI147" s="1423" t="n">
        <v>46277</v>
      </c>
      <c r="AJ147" s="1423" t="n">
        <v>46284</v>
      </c>
      <c r="AK147" s="1423" t="n">
        <v>46298</v>
      </c>
      <c r="AL147" s="1423" t="str">
        <f>IFERROR(INDEX('برنامه خرد'!$I$2:$I$82,MATCH(Q147,'برنامه خرد'!$A$2:$A$82,0)),"")</f>
      </c>
      <c r="AM147" s="1423" t="n">
        <f>IF(AL147="",AN147,IF(T147="غلط یا کمتر از ۵۰٪",AL147+1,IF(T147="ناقص یا همراه با حدس",AL147+2,IF(T147="درست ولی کند و مردد",AL147+4,IF(T147="درست، سریع و کامل",IF(W147&gt;=2,AL147+IF(R147&lt;14,14,28),AL147+MIN(28,MAX(3,R147*2))),AN147)))))</f>
        <v>46272</v>
      </c>
      <c r="AN147" s="1423" t="n">
        <v>46272</v>
      </c>
      <c r="AO147" s="1423" t="n">
        <v>46317</v>
      </c>
    </row>
    <row r="148" ht="38" customHeight="1">
      <c r="A148" s="366" t="str">
        <v>U147</v>
      </c>
      <c r="B148" s="367" t="str">
        <v>روان‌شناسی رشد کرین</v>
      </c>
      <c r="C148" s="367" t="str">
        <v>روان‌شناسی رشد کرین</v>
      </c>
      <c r="D148" s="367" t="str">
        <v>7</v>
      </c>
      <c r="E148" s="367" t="str">
        <v>مراحل رشد اخلاقی کلبرگ</v>
      </c>
      <c r="F148" s="367" t="str">
        <v>واحد مطالعه بر اساس بازهٔ صفحه</v>
      </c>
      <c r="G148" s="367" t="str">
        <v>۲۶۶ تا ۲۸۲</v>
      </c>
      <c r="H148" s="680" t="n">
        <v>17</v>
      </c>
      <c r="I148" s="367" t="str">
        <v>۱۴۰۵/۰۶/۱۶</v>
      </c>
      <c r="J148" s="683" t="n">
        <v>74</v>
      </c>
      <c r="K148" s="367" t="str">
        <v>۱۴۰۵/۰۶/۱۶</v>
      </c>
      <c r="L148" s="367" t="str">
        <v>۱۴۰۵/۰۶/۱۷</v>
      </c>
      <c r="M148" s="367" t="str">
        <v>۱۴۰۵/۰۶/۱۹</v>
      </c>
      <c r="N148" s="367" t="str">
        <v>۱۴۰۵/۰۶/۲۳</v>
      </c>
      <c r="O148" s="367" t="str">
        <v>۱۴۰۵/۰۶/۳۰</v>
      </c>
      <c r="P148" s="367" t="str">
        <v>۱۴۰۵/۰۷/۱۳</v>
      </c>
      <c r="Q148" s="411"/>
      <c r="R148" s="687" t="n">
        <v>1</v>
      </c>
      <c r="S148" s="687"/>
      <c r="T148" s="412"/>
      <c r="U148" s="412"/>
      <c r="V148" s="412"/>
      <c r="W148" s="687" t="str">
        <v>0</v>
      </c>
      <c r="X148" s="412" t="str">
        <v>خیر</v>
      </c>
      <c r="Y148" s="413" t="str">
        <v>خیر</v>
      </c>
      <c r="Z148" s="430" t="str">
        <f>IF(AM148="","",IF(AM148&gt;AO148,"تثبیت نهایی",IFERROR(INDEX('برنامه خرد'!$A$2:$A$82,MATCH(AM148,'برنامه خرد'!$I$2:$I$82,0)),"تثبیت نهایی")))</f>
        <v>۱۴۰۵/۰۶/۱۸</v>
      </c>
      <c r="AA148" s="431" t="str">
        <v>۱۴۰۵/۰۶/۱۸</v>
      </c>
      <c r="AB148" s="690" t="n">
        <f>IF(AM148="","",AM148-AN148)</f>
        <v>0</v>
      </c>
      <c r="AC148" s="431" t="str">
        <f>IF(AM148="","فاقد داده",IF(AM148&gt;AO148,"انتقال به تثبیت نهایی",IF(AM148&lt;TODAY(),"عقب‌افتاده",IF(AM148=TODAY(),"سررسید امروز","آینده"))))</f>
        <v>آینده</v>
      </c>
      <c r="AD148" s="432" t="str">
        <f>IF(OR(AM148&gt;AO148,Z148="تثبیت نهایی"),"بله","خیر")</f>
        <v>خیر</v>
      </c>
      <c r="AE148" s="436" t="str">
        <v>این فرمول فقط تاریخ پیشنهادی را محاسبه می‌کند و ردیف‌های برنامهٔ روزانه را خودکار جابه‌جا نمی‌کند.</v>
      </c>
      <c r="AF148" s="1423" t="n">
        <v>46272</v>
      </c>
      <c r="AG148" s="1423" t="n">
        <v>46273</v>
      </c>
      <c r="AH148" s="1423" t="n">
        <v>46275</v>
      </c>
      <c r="AI148" s="1423" t="n">
        <v>46279</v>
      </c>
      <c r="AJ148" s="1423" t="n">
        <v>46286</v>
      </c>
      <c r="AK148" s="1423" t="n">
        <v>46300</v>
      </c>
      <c r="AL148" s="1423" t="str">
        <f>IFERROR(INDEX('برنامه خرد'!$I$2:$I$82,MATCH(Q148,'برنامه خرد'!$A$2:$A$82,0)),"")</f>
      </c>
      <c r="AM148" s="1423" t="n">
        <f>IF(AL148="",AN148,IF(T148="غلط یا کمتر از ۵۰٪",AL148+1,IF(T148="ناقص یا همراه با حدس",AL148+2,IF(T148="درست ولی کند و مردد",AL148+4,IF(T148="درست، سریع و کامل",IF(W148&gt;=2,AL148+IF(R148&lt;14,14,28),AL148+MIN(28,MAX(3,R148*2))),AN148)))))</f>
        <v>46274</v>
      </c>
      <c r="AN148" s="1423" t="n">
        <v>46274</v>
      </c>
      <c r="AO148" s="1423" t="n">
        <v>46317</v>
      </c>
    </row>
    <row r="149" ht="38" customHeight="1">
      <c r="A149" s="280" t="str">
        <v>U148</v>
      </c>
      <c r="B149" s="281" t="str">
        <v>روان‌شناسی رشد کرین</v>
      </c>
      <c r="C149" s="281" t="str">
        <v>روان‌شناسی رشد کرین</v>
      </c>
      <c r="D149" s="281" t="str">
        <v>8</v>
      </c>
      <c r="E149" s="281" t="str">
        <v>نظریه یادگیری پاولف، واتسون و اسکینر</v>
      </c>
      <c r="F149" s="281" t="str">
        <v>واحد مطالعه بر اساس بازهٔ صفحه</v>
      </c>
      <c r="G149" s="281" t="str">
        <v>۲۸۳ تا ۲۸۵</v>
      </c>
      <c r="H149" s="681" t="n">
        <v>3</v>
      </c>
      <c r="I149" s="281" t="str">
        <v>۱۴۰۵/۰۶/۱۶</v>
      </c>
      <c r="J149" s="684" t="n">
        <v>13.1</v>
      </c>
      <c r="K149" s="281" t="str">
        <v>۱۴۰۵/۰۶/۱۶</v>
      </c>
      <c r="L149" s="281" t="str">
        <v>۱۴۰۵/۰۶/۱۷</v>
      </c>
      <c r="M149" s="281" t="str">
        <v>۱۴۰۵/۰۶/۱۹</v>
      </c>
      <c r="N149" s="281" t="str">
        <v>۱۴۰۵/۰۶/۲۳</v>
      </c>
      <c r="O149" s="281" t="str">
        <v>۱۴۰۵/۰۶/۳۰</v>
      </c>
      <c r="P149" s="281" t="str">
        <v>۱۴۰۵/۰۷/۱۳</v>
      </c>
      <c r="Q149" s="411"/>
      <c r="R149" s="687" t="n">
        <v>1</v>
      </c>
      <c r="S149" s="687"/>
      <c r="T149" s="412"/>
      <c r="U149" s="412"/>
      <c r="V149" s="412"/>
      <c r="W149" s="687" t="str">
        <v>0</v>
      </c>
      <c r="X149" s="412" t="str">
        <v>خیر</v>
      </c>
      <c r="Y149" s="413" t="str">
        <v>خیر</v>
      </c>
      <c r="Z149" s="430" t="str">
        <f>IF(AM149="","",IF(AM149&gt;AO149,"تثبیت نهایی",IFERROR(INDEX('برنامه خرد'!$A$2:$A$82,MATCH(AM149,'برنامه خرد'!$I$2:$I$82,0)),"تثبیت نهایی")))</f>
        <v>۱۴۰۵/۰۶/۱۸</v>
      </c>
      <c r="AA149" s="431" t="str">
        <v>۱۴۰۵/۰۶/۱۸</v>
      </c>
      <c r="AB149" s="690" t="n">
        <f>IF(AM149="","",AM149-AN149)</f>
        <v>0</v>
      </c>
      <c r="AC149" s="431" t="str">
        <f>IF(AM149="","فاقد داده",IF(AM149&gt;AO149,"انتقال به تثبیت نهایی",IF(AM149&lt;TODAY(),"عقب‌افتاده",IF(AM149=TODAY(),"سررسید امروز","آینده"))))</f>
        <v>آینده</v>
      </c>
      <c r="AD149" s="432" t="str">
        <f>IF(OR(AM149&gt;AO149,Z149="تثبیت نهایی"),"بله","خیر")</f>
        <v>خیر</v>
      </c>
      <c r="AE149" s="436" t="str">
        <v>این فرمول فقط تاریخ پیشنهادی را محاسبه می‌کند و ردیف‌های برنامهٔ روزانه را خودکار جابه‌جا نمی‌کند.</v>
      </c>
      <c r="AF149" s="1423" t="n">
        <v>46272</v>
      </c>
      <c r="AG149" s="1423" t="n">
        <v>46273</v>
      </c>
      <c r="AH149" s="1423" t="n">
        <v>46275</v>
      </c>
      <c r="AI149" s="1423" t="n">
        <v>46279</v>
      </c>
      <c r="AJ149" s="1423" t="n">
        <v>46286</v>
      </c>
      <c r="AK149" s="1423" t="n">
        <v>46300</v>
      </c>
      <c r="AL149" s="1423" t="str">
        <f>IFERROR(INDEX('برنامه خرد'!$I$2:$I$82,MATCH(Q149,'برنامه خرد'!$A$2:$A$82,0)),"")</f>
      </c>
      <c r="AM149" s="1423" t="n">
        <f>IF(AL149="",AN149,IF(T149="غلط یا کمتر از ۵۰٪",AL149+1,IF(T149="ناقص یا همراه با حدس",AL149+2,IF(T149="درست ولی کند و مردد",AL149+4,IF(T149="درست، سریع و کامل",IF(W149&gt;=2,AL149+IF(R149&lt;14,14,28),AL149+MIN(28,MAX(3,R149*2))),AN149)))))</f>
        <v>46274</v>
      </c>
      <c r="AN149" s="1423" t="n">
        <v>46274</v>
      </c>
      <c r="AO149" s="1423" t="n">
        <v>46317</v>
      </c>
    </row>
    <row r="150" ht="38" customHeight="1">
      <c r="A150" s="366" t="str">
        <v>U149</v>
      </c>
      <c r="B150" s="367" t="str">
        <v>روان‌شناسی رشد کرین</v>
      </c>
      <c r="C150" s="367" t="str">
        <v>روان‌شناسی رشد کرین</v>
      </c>
      <c r="D150" s="367" t="str">
        <v>8</v>
      </c>
      <c r="E150" s="367" t="str">
        <v>نظریه یادگیری پاولف، واتسون و اسکینر</v>
      </c>
      <c r="F150" s="367" t="str">
        <v>واحد مطالعه بر اساس بازهٔ صفحه</v>
      </c>
      <c r="G150" s="367" t="str">
        <v>۲۸۶ تا ۳۰۵</v>
      </c>
      <c r="H150" s="680" t="n">
        <v>20</v>
      </c>
      <c r="I150" s="367" t="str">
        <v>۱۴۰۵/۰۶/۱۸</v>
      </c>
      <c r="J150" s="683" t="n">
        <v>87</v>
      </c>
      <c r="K150" s="367" t="str">
        <v>۱۴۰۵/۰۶/۱۸</v>
      </c>
      <c r="L150" s="367" t="str">
        <v>۱۴۰۵/۰۶/۱۹</v>
      </c>
      <c r="M150" s="367" t="str">
        <v>۱۴۰۵/۰۶/۲۱</v>
      </c>
      <c r="N150" s="367" t="str">
        <v>۱۴۰۵/۰۶/۲۵</v>
      </c>
      <c r="O150" s="367" t="str">
        <v>۱۴۰۵/۰۷/۰۱</v>
      </c>
      <c r="P150" s="367" t="str">
        <v>۱۴۰۵/۰۷/۱۵</v>
      </c>
      <c r="Q150" s="411"/>
      <c r="R150" s="687" t="n">
        <v>1</v>
      </c>
      <c r="S150" s="687"/>
      <c r="T150" s="412"/>
      <c r="U150" s="412"/>
      <c r="V150" s="412"/>
      <c r="W150" s="687" t="str">
        <v>0</v>
      </c>
      <c r="X150" s="412" t="str">
        <v>خیر</v>
      </c>
      <c r="Y150" s="413" t="str">
        <v>خیر</v>
      </c>
      <c r="Z150" s="430" t="str">
        <f>IF(AM150="","",IF(AM150&gt;AO150,"تثبیت نهایی",IFERROR(INDEX('برنامه خرد'!$A$2:$A$82,MATCH(AM150,'برنامه خرد'!$I$2:$I$82,0)),"تثبیت نهایی")))</f>
        <v>۱۴۰۵/۰۶/۱۸</v>
      </c>
      <c r="AA150" s="431" t="str">
        <v>۱۴۰۵/۰۶/۱۸</v>
      </c>
      <c r="AB150" s="690" t="n">
        <f>IF(AM150="","",AM150-AN150)</f>
        <v>0</v>
      </c>
      <c r="AC150" s="431" t="str">
        <f>IF(AM150="","فاقد داده",IF(AM150&gt;AO150,"انتقال به تثبیت نهایی",IF(AM150&lt;TODAY(),"عقب‌افتاده",IF(AM150=TODAY(),"سررسید امروز","آینده"))))</f>
        <v>آینده</v>
      </c>
      <c r="AD150" s="432" t="str">
        <f>IF(OR(AM150&gt;AO150,Z150="تثبیت نهایی"),"بله","خیر")</f>
        <v>خیر</v>
      </c>
      <c r="AE150" s="436" t="str">
        <v>این فرمول فقط تاریخ پیشنهادی را محاسبه می‌کند و ردیف‌های برنامهٔ روزانه را خودکار جابه‌جا نمی‌کند.</v>
      </c>
      <c r="AF150" s="1423" t="n">
        <v>46274</v>
      </c>
      <c r="AG150" s="1423" t="n">
        <v>46275</v>
      </c>
      <c r="AH150" s="1423" t="n">
        <v>46277</v>
      </c>
      <c r="AI150" s="1423" t="n">
        <v>46281</v>
      </c>
      <c r="AJ150" s="1423" t="n">
        <v>46288</v>
      </c>
      <c r="AK150" s="1423" t="n">
        <v>46302</v>
      </c>
      <c r="AL150" s="1423" t="str">
        <f>IFERROR(INDEX('برنامه خرد'!$I$2:$I$82,MATCH(Q150,'برنامه خرد'!$A$2:$A$82,0)),"")</f>
      </c>
      <c r="AM150" s="1423" t="n">
        <f>IF(AL150="",AN150,IF(T150="غلط یا کمتر از ۵۰٪",AL150+1,IF(T150="ناقص یا همراه با حدس",AL150+2,IF(T150="درست ولی کند و مردد",AL150+4,IF(T150="درست، سریع و کامل",IF(W150&gt;=2,AL150+IF(R150&lt;14,14,28),AL150+MIN(28,MAX(3,R150*2))),AN150)))))</f>
        <v>46274</v>
      </c>
      <c r="AN150" s="1423" t="n">
        <v>46274</v>
      </c>
      <c r="AO150" s="1423" t="n">
        <v>46317</v>
      </c>
    </row>
    <row r="151" ht="38" customHeight="1">
      <c r="A151" s="280" t="str">
        <v>U150</v>
      </c>
      <c r="B151" s="281" t="str">
        <v>روان‌شناسی رشد کرین</v>
      </c>
      <c r="C151" s="281" t="str">
        <v>روان‌شناسی رشد کرین</v>
      </c>
      <c r="D151" s="281" t="str">
        <v>8</v>
      </c>
      <c r="E151" s="281" t="str">
        <v>نظریه یادگیری پاولف، واتسون و اسکینر</v>
      </c>
      <c r="F151" s="281" t="str">
        <v>واحد مطالعه بر اساس بازهٔ صفحه</v>
      </c>
      <c r="G151" s="281" t="str">
        <v>۳۰۶ تا ۳۱۸</v>
      </c>
      <c r="H151" s="681" t="n">
        <v>13</v>
      </c>
      <c r="I151" s="281" t="str">
        <v>۱۴۰۵/۰۶/۲۱</v>
      </c>
      <c r="J151" s="684" t="n">
        <v>56.5</v>
      </c>
      <c r="K151" s="281" t="str">
        <v>۱۴۰۵/۰۶/۲۱</v>
      </c>
      <c r="L151" s="281" t="str">
        <v>۱۴۰۵/۰۶/۲۲</v>
      </c>
      <c r="M151" s="281" t="str">
        <v>۱۴۰۵/۰۶/۲۴</v>
      </c>
      <c r="N151" s="281" t="str">
        <v>۱۴۰۵/۰۶/۲۸</v>
      </c>
      <c r="O151" s="281" t="str">
        <v>۱۴۰۵/۰۷/۰۴</v>
      </c>
      <c r="P151" s="281" t="str">
        <v>۱۴۰۵/۰۷/۱۸</v>
      </c>
      <c r="Q151" s="411"/>
      <c r="R151" s="687" t="n">
        <v>1</v>
      </c>
      <c r="S151" s="687"/>
      <c r="T151" s="412"/>
      <c r="U151" s="412"/>
      <c r="V151" s="412"/>
      <c r="W151" s="687" t="str">
        <v>0</v>
      </c>
      <c r="X151" s="412" t="str">
        <v>خیر</v>
      </c>
      <c r="Y151" s="413" t="str">
        <v>خیر</v>
      </c>
      <c r="Z151" s="430" t="str">
        <f>IF(AM151="","",IF(AM151&gt;AO151,"تثبیت نهایی",IFERROR(INDEX('برنامه خرد'!$A$2:$A$82,MATCH(AM151,'برنامه خرد'!$I$2:$I$82,0)),"تثبیت نهایی")))</f>
        <v>۱۴۰۵/۰۶/۲۳</v>
      </c>
      <c r="AA151" s="431" t="str">
        <v>۱۴۰۵/۰۶/۲۳</v>
      </c>
      <c r="AB151" s="690" t="n">
        <f>IF(AM151="","",AM151-AN151)</f>
        <v>0</v>
      </c>
      <c r="AC151" s="431" t="str">
        <f>IF(AM151="","فاقد داده",IF(AM151&gt;AO151,"انتقال به تثبیت نهایی",IF(AM151&lt;TODAY(),"عقب‌افتاده",IF(AM151=TODAY(),"سررسید امروز","آینده"))))</f>
        <v>آینده</v>
      </c>
      <c r="AD151" s="432" t="str">
        <f>IF(OR(AM151&gt;AO151,Z151="تثبیت نهایی"),"بله","خیر")</f>
        <v>خیر</v>
      </c>
      <c r="AE151" s="436" t="str">
        <v>این فرمول فقط تاریخ پیشنهادی را محاسبه می‌کند و ردیف‌های برنامهٔ روزانه را خودکار جابه‌جا نمی‌کند.</v>
      </c>
      <c r="AF151" s="1423" t="n">
        <v>46277</v>
      </c>
      <c r="AG151" s="1423" t="n">
        <v>46278</v>
      </c>
      <c r="AH151" s="1423" t="n">
        <v>46280</v>
      </c>
      <c r="AI151" s="1423" t="n">
        <v>46284</v>
      </c>
      <c r="AJ151" s="1423" t="n">
        <v>46291</v>
      </c>
      <c r="AK151" s="1423" t="n">
        <v>46305</v>
      </c>
      <c r="AL151" s="1423" t="str">
        <f>IFERROR(INDEX('برنامه خرد'!$I$2:$I$82,MATCH(Q151,'برنامه خرد'!$A$2:$A$82,0)),"")</f>
      </c>
      <c r="AM151" s="1423" t="n">
        <f>IF(AL151="",AN151,IF(T151="غلط یا کمتر از ۵۰٪",AL151+1,IF(T151="ناقص یا همراه با حدس",AL151+2,IF(T151="درست ولی کند و مردد",AL151+4,IF(T151="درست، سریع و کامل",IF(W151&gt;=2,AL151+IF(R151&lt;14,14,28),AL151+MIN(28,MAX(3,R151*2))),AN151)))))</f>
        <v>46279</v>
      </c>
      <c r="AN151" s="1423" t="n">
        <v>46279</v>
      </c>
      <c r="AO151" s="1423" t="n">
        <v>46317</v>
      </c>
    </row>
    <row r="152" ht="38" customHeight="1">
      <c r="A152" s="366" t="str">
        <v>U151</v>
      </c>
      <c r="B152" s="367" t="str">
        <v>روان‌شناسی رشد کرین</v>
      </c>
      <c r="C152" s="367" t="str">
        <v>روان‌شناسی رشد کرین</v>
      </c>
      <c r="D152" s="367" t="str">
        <v>9</v>
      </c>
      <c r="E152" s="367" t="str">
        <v>نظریه یادگیری اجتماعی بندورا</v>
      </c>
      <c r="F152" s="367" t="str">
        <v>واحد مطالعه بر اساس بازهٔ صفحه</v>
      </c>
      <c r="G152" s="367" t="str">
        <v>۳۱۹ تا ۳۲۵</v>
      </c>
      <c r="H152" s="680" t="n">
        <v>7</v>
      </c>
      <c r="I152" s="367" t="str">
        <v>۱۴۰۵/۰۶/۲۱</v>
      </c>
      <c r="J152" s="683" t="n">
        <v>30.4</v>
      </c>
      <c r="K152" s="367" t="str">
        <v>۱۴۰۵/۰۶/۲۱</v>
      </c>
      <c r="L152" s="367" t="str">
        <v>۱۴۰۵/۰۶/۲۲</v>
      </c>
      <c r="M152" s="367" t="str">
        <v>۱۴۰۵/۰۶/۲۴</v>
      </c>
      <c r="N152" s="367" t="str">
        <v>۱۴۰۵/۰۶/۲۸</v>
      </c>
      <c r="O152" s="367" t="str">
        <v>۱۴۰۵/۰۷/۰۴</v>
      </c>
      <c r="P152" s="367" t="str">
        <v>۱۴۰۵/۰۷/۱۸</v>
      </c>
      <c r="Q152" s="411"/>
      <c r="R152" s="687" t="n">
        <v>1</v>
      </c>
      <c r="S152" s="687"/>
      <c r="T152" s="412"/>
      <c r="U152" s="412"/>
      <c r="V152" s="412"/>
      <c r="W152" s="687" t="str">
        <v>0</v>
      </c>
      <c r="X152" s="412" t="str">
        <v>خیر</v>
      </c>
      <c r="Y152" s="413" t="str">
        <v>خیر</v>
      </c>
      <c r="Z152" s="430" t="str">
        <f>IF(AM152="","",IF(AM152&gt;AO152,"تثبیت نهایی",IFERROR(INDEX('برنامه خرد'!$A$2:$A$82,MATCH(AM152,'برنامه خرد'!$I$2:$I$82,0)),"تثبیت نهایی")))</f>
        <v>۱۴۰۵/۰۶/۲۳</v>
      </c>
      <c r="AA152" s="431" t="str">
        <v>۱۴۰۵/۰۶/۲۳</v>
      </c>
      <c r="AB152" s="690" t="n">
        <f>IF(AM152="","",AM152-AN152)</f>
        <v>0</v>
      </c>
      <c r="AC152" s="431" t="str">
        <f>IF(AM152="","فاقد داده",IF(AM152&gt;AO152,"انتقال به تثبیت نهایی",IF(AM152&lt;TODAY(),"عقب‌افتاده",IF(AM152=TODAY(),"سررسید امروز","آینده"))))</f>
        <v>آینده</v>
      </c>
      <c r="AD152" s="432" t="str">
        <f>IF(OR(AM152&gt;AO152,Z152="تثبیت نهایی"),"بله","خیر")</f>
        <v>خیر</v>
      </c>
      <c r="AE152" s="436" t="str">
        <v>این فرمول فقط تاریخ پیشنهادی را محاسبه می‌کند و ردیف‌های برنامهٔ روزانه را خودکار جابه‌جا نمی‌کند.</v>
      </c>
      <c r="AF152" s="1423" t="n">
        <v>46277</v>
      </c>
      <c r="AG152" s="1423" t="n">
        <v>46278</v>
      </c>
      <c r="AH152" s="1423" t="n">
        <v>46280</v>
      </c>
      <c r="AI152" s="1423" t="n">
        <v>46284</v>
      </c>
      <c r="AJ152" s="1423" t="n">
        <v>46291</v>
      </c>
      <c r="AK152" s="1423" t="n">
        <v>46305</v>
      </c>
      <c r="AL152" s="1423" t="str">
        <f>IFERROR(INDEX('برنامه خرد'!$I$2:$I$82,MATCH(Q152,'برنامه خرد'!$A$2:$A$82,0)),"")</f>
      </c>
      <c r="AM152" s="1423" t="n">
        <f>IF(AL152="",AN152,IF(T152="غلط یا کمتر از ۵۰٪",AL152+1,IF(T152="ناقص یا همراه با حدس",AL152+2,IF(T152="درست ولی کند و مردد",AL152+4,IF(T152="درست، سریع و کامل",IF(W152&gt;=2,AL152+IF(R152&lt;14,14,28),AL152+MIN(28,MAX(3,R152*2))),AN152)))))</f>
        <v>46279</v>
      </c>
      <c r="AN152" s="1423" t="n">
        <v>46279</v>
      </c>
      <c r="AO152" s="1423" t="n">
        <v>46317</v>
      </c>
    </row>
    <row r="153" ht="38" customHeight="1">
      <c r="A153" s="280" t="str">
        <v>U152</v>
      </c>
      <c r="B153" s="281" t="str">
        <v>روان‌شناسی رشد کرین</v>
      </c>
      <c r="C153" s="281" t="str">
        <v>روان‌شناسی رشد کرین</v>
      </c>
      <c r="D153" s="281" t="str">
        <v>9</v>
      </c>
      <c r="E153" s="281" t="str">
        <v>نظریه یادگیری اجتماعی بندورا</v>
      </c>
      <c r="F153" s="281" t="str">
        <v>واحد مطالعه بر اساس بازهٔ صفحه</v>
      </c>
      <c r="G153" s="281" t="str">
        <v>۳۲۶ تا ۳۳۱</v>
      </c>
      <c r="H153" s="681" t="n">
        <v>6</v>
      </c>
      <c r="I153" s="281" t="str">
        <v>۱۴۰۵/۰۶/۲۳</v>
      </c>
      <c r="J153" s="684" t="n">
        <v>25</v>
      </c>
      <c r="K153" s="281" t="str">
        <v>۱۴۰۵/۰۶/۲۳</v>
      </c>
      <c r="L153" s="281" t="str">
        <v>۱۴۰۵/۰۶/۲۴</v>
      </c>
      <c r="M153" s="281" t="str">
        <v>۱۴۰۵/۰۶/۲۶</v>
      </c>
      <c r="N153" s="281" t="str">
        <v>۱۴۰۵/۰۶/۳۰</v>
      </c>
      <c r="O153" s="281" t="str">
        <v>۱۴۰۵/۰۷/۰۶</v>
      </c>
      <c r="P153" s="281" t="str">
        <v>۱۴۰۵/۰۷/۲۰</v>
      </c>
      <c r="Q153" s="411"/>
      <c r="R153" s="687" t="n">
        <v>1</v>
      </c>
      <c r="S153" s="687"/>
      <c r="T153" s="412"/>
      <c r="U153" s="412"/>
      <c r="V153" s="412"/>
      <c r="W153" s="687" t="str">
        <v>0</v>
      </c>
      <c r="X153" s="412" t="str">
        <v>خیر</v>
      </c>
      <c r="Y153" s="413" t="str">
        <v>خیر</v>
      </c>
      <c r="Z153" s="430" t="str">
        <f>IF(AM153="","",IF(AM153&gt;AO153,"تثبیت نهایی",IFERROR(INDEX('برنامه خرد'!$A$2:$A$82,MATCH(AM153,'برنامه خرد'!$I$2:$I$82,0)),"تثبیت نهایی")))</f>
        <v>۱۴۰۵/۰۶/۲۴</v>
      </c>
      <c r="AA153" s="431" t="str">
        <v>۱۴۰۵/۰۶/۲۴</v>
      </c>
      <c r="AB153" s="690" t="n">
        <f>IF(AM153="","",AM153-AN153)</f>
        <v>0</v>
      </c>
      <c r="AC153" s="431" t="str">
        <f>IF(AM153="","فاقد داده",IF(AM153&gt;AO153,"انتقال به تثبیت نهایی",IF(AM153&lt;TODAY(),"عقب‌افتاده",IF(AM153=TODAY(),"سررسید امروز","آینده"))))</f>
        <v>آینده</v>
      </c>
      <c r="AD153" s="432" t="str">
        <f>IF(OR(AM153&gt;AO153,Z153="تثبیت نهایی"),"بله","خیر")</f>
        <v>خیر</v>
      </c>
      <c r="AE153" s="436" t="str">
        <v>این فرمول فقط تاریخ پیشنهادی را محاسبه می‌کند و ردیف‌های برنامهٔ روزانه را خودکار جابه‌جا نمی‌کند.</v>
      </c>
      <c r="AF153" s="1423" t="n">
        <v>46279</v>
      </c>
      <c r="AG153" s="1423" t="n">
        <v>46280</v>
      </c>
      <c r="AH153" s="1423" t="n">
        <v>46282</v>
      </c>
      <c r="AI153" s="1423" t="n">
        <v>46286</v>
      </c>
      <c r="AJ153" s="1423" t="n">
        <v>46293</v>
      </c>
      <c r="AK153" s="1423" t="n">
        <v>46307</v>
      </c>
      <c r="AL153" s="1423" t="str">
        <f>IFERROR(INDEX('برنامه خرد'!$I$2:$I$82,MATCH(Q153,'برنامه خرد'!$A$2:$A$82,0)),"")</f>
      </c>
      <c r="AM153" s="1423" t="n">
        <f>IF(AL153="",AN153,IF(T153="غلط یا کمتر از ۵۰٪",AL153+1,IF(T153="ناقص یا همراه با حدس",AL153+2,IF(T153="درست ولی کند و مردد",AL153+4,IF(T153="درست، سریع و کامل",IF(W153&gt;=2,AL153+IF(R153&lt;14,14,28),AL153+MIN(28,MAX(3,R153*2))),AN153)))))</f>
        <v>46280</v>
      </c>
      <c r="AN153" s="1423" t="n">
        <v>46280</v>
      </c>
      <c r="AO153" s="1423" t="n">
        <v>46317</v>
      </c>
    </row>
    <row r="154" ht="38" customHeight="1">
      <c r="A154" s="366" t="str">
        <v>U153</v>
      </c>
      <c r="B154" s="367" t="str">
        <v>روان‌شناسی رشد کرین</v>
      </c>
      <c r="C154" s="367" t="str">
        <v>روان‌شناسی رشد کرین</v>
      </c>
      <c r="D154" s="367" t="str">
        <v>9</v>
      </c>
      <c r="E154" s="367" t="str">
        <v>نظریه یادگیری اجتماعی بندورا</v>
      </c>
      <c r="F154" s="367" t="str">
        <v>واحد مطالعه بر اساس بازهٔ صفحه</v>
      </c>
      <c r="G154" s="367" t="str">
        <v>۳۳۲ تا ۳۵۰</v>
      </c>
      <c r="H154" s="680" t="n">
        <v>19</v>
      </c>
      <c r="I154" s="367" t="str">
        <v>۱۴۰۵/۰۶/۲۴</v>
      </c>
      <c r="J154" s="683" t="n">
        <v>82.7</v>
      </c>
      <c r="K154" s="367" t="str">
        <v>۱۴۰۵/۰۶/۲۴</v>
      </c>
      <c r="L154" s="367" t="str">
        <v>۱۴۰۵/۰۶/۲۵</v>
      </c>
      <c r="M154" s="367" t="str">
        <v>۱۴۰۵/۰۶/۲۷</v>
      </c>
      <c r="N154" s="367" t="str">
        <v>۱۴۰۵/۰۶/۳۱</v>
      </c>
      <c r="O154" s="367" t="str">
        <v>۱۴۰۵/۰۷/۰۷</v>
      </c>
      <c r="P154" s="367" t="str">
        <v>۱۴۰۵/۰۷/۲۱</v>
      </c>
      <c r="Q154" s="411"/>
      <c r="R154" s="687" t="n">
        <v>1</v>
      </c>
      <c r="S154" s="687"/>
      <c r="T154" s="412"/>
      <c r="U154" s="412"/>
      <c r="V154" s="412"/>
      <c r="W154" s="687" t="str">
        <v>0</v>
      </c>
      <c r="X154" s="412" t="str">
        <v>خیر</v>
      </c>
      <c r="Y154" s="413" t="str">
        <v>خیر</v>
      </c>
      <c r="Z154" s="430" t="str">
        <f>IF(AM154="","",IF(AM154&gt;AO154,"تثبیت نهایی",IFERROR(INDEX('برنامه خرد'!$A$2:$A$82,MATCH(AM154,'برنامه خرد'!$I$2:$I$82,0)),"تثبیت نهایی")))</f>
        <v>۱۴۰۵/۰۶/۲۶</v>
      </c>
      <c r="AA154" s="431" t="str">
        <v>۱۴۰۵/۰۶/۲۶</v>
      </c>
      <c r="AB154" s="690" t="n">
        <f>IF(AM154="","",AM154-AN154)</f>
        <v>0</v>
      </c>
      <c r="AC154" s="431" t="str">
        <f>IF(AM154="","فاقد داده",IF(AM154&gt;AO154,"انتقال به تثبیت نهایی",IF(AM154&lt;TODAY(),"عقب‌افتاده",IF(AM154=TODAY(),"سررسید امروز","آینده"))))</f>
        <v>آینده</v>
      </c>
      <c r="AD154" s="432" t="str">
        <f>IF(OR(AM154&gt;AO154,Z154="تثبیت نهایی"),"بله","خیر")</f>
        <v>خیر</v>
      </c>
      <c r="AE154" s="436" t="str">
        <v>این فرمول فقط تاریخ پیشنهادی را محاسبه می‌کند و ردیف‌های برنامهٔ روزانه را خودکار جابه‌جا نمی‌کند.</v>
      </c>
      <c r="AF154" s="1423" t="n">
        <v>46280</v>
      </c>
      <c r="AG154" s="1423" t="n">
        <v>46281</v>
      </c>
      <c r="AH154" s="1423" t="n">
        <v>46283</v>
      </c>
      <c r="AI154" s="1423" t="n">
        <v>46287</v>
      </c>
      <c r="AJ154" s="1423" t="n">
        <v>46294</v>
      </c>
      <c r="AK154" s="1423" t="n">
        <v>46308</v>
      </c>
      <c r="AL154" s="1423" t="str">
        <f>IFERROR(INDEX('برنامه خرد'!$I$2:$I$82,MATCH(Q154,'برنامه خرد'!$A$2:$A$82,0)),"")</f>
      </c>
      <c r="AM154" s="1423" t="n">
        <f>IF(AL154="",AN154,IF(T154="غلط یا کمتر از ۵۰٪",AL154+1,IF(T154="ناقص یا همراه با حدس",AL154+2,IF(T154="درست ولی کند و مردد",AL154+4,IF(T154="درست، سریع و کامل",IF(W154&gt;=2,AL154+IF(R154&lt;14,14,28),AL154+MIN(28,MAX(3,R154*2))),AN154)))))</f>
        <v>46282</v>
      </c>
      <c r="AN154" s="1423" t="n">
        <v>46282</v>
      </c>
      <c r="AO154" s="1423" t="n">
        <v>46317</v>
      </c>
    </row>
    <row r="155" ht="38" customHeight="1">
      <c r="A155" s="280" t="str">
        <v>U154</v>
      </c>
      <c r="B155" s="281" t="str">
        <v>روان‌شناسی رشد کرین</v>
      </c>
      <c r="C155" s="281" t="str">
        <v>روان‌شناسی رشد کرین</v>
      </c>
      <c r="D155" s="281" t="str">
        <v>10</v>
      </c>
      <c r="E155" s="281" t="str">
        <v>نظریه تاریخی ـ اجتماعی ویگوتسکی در زمینه رشد شناختی</v>
      </c>
      <c r="F155" s="281" t="str">
        <v>واحد مطالعه بر اساس بازهٔ صفحه</v>
      </c>
      <c r="G155" s="281" t="str">
        <v>۳۵۱ تا ۳۵۱</v>
      </c>
      <c r="H155" s="681" t="n">
        <v>1</v>
      </c>
      <c r="I155" s="281" t="str">
        <v>۱۴۰۵/۰۶/۲۴</v>
      </c>
      <c r="J155" s="684" t="n">
        <v>4.3</v>
      </c>
      <c r="K155" s="281" t="str">
        <v>۱۴۰۵/۰۶/۲۴</v>
      </c>
      <c r="L155" s="281" t="str">
        <v>۱۴۰۵/۰۶/۲۵</v>
      </c>
      <c r="M155" s="281" t="str">
        <v>۱۴۰۵/۰۶/۲۷</v>
      </c>
      <c r="N155" s="281" t="str">
        <v>۱۴۰۵/۰۶/۳۱</v>
      </c>
      <c r="O155" s="281" t="str">
        <v>۱۴۰۵/۰۷/۰۷</v>
      </c>
      <c r="P155" s="281" t="str">
        <v>۱۴۰۵/۰۷/۲۱</v>
      </c>
      <c r="Q155" s="411"/>
      <c r="R155" s="687" t="n">
        <v>1</v>
      </c>
      <c r="S155" s="687"/>
      <c r="T155" s="412"/>
      <c r="U155" s="412"/>
      <c r="V155" s="412"/>
      <c r="W155" s="687" t="str">
        <v>0</v>
      </c>
      <c r="X155" s="412" t="str">
        <v>خیر</v>
      </c>
      <c r="Y155" s="413" t="str">
        <v>خیر</v>
      </c>
      <c r="Z155" s="430" t="str">
        <f>IF(AM155="","",IF(AM155&gt;AO155,"تثبیت نهایی",IFERROR(INDEX('برنامه خرد'!$A$2:$A$82,MATCH(AM155,'برنامه خرد'!$I$2:$I$82,0)),"تثبیت نهایی")))</f>
        <v>۱۴۰۵/۰۶/۲۶</v>
      </c>
      <c r="AA155" s="431" t="str">
        <v>۱۴۰۵/۰۶/۲۶</v>
      </c>
      <c r="AB155" s="690" t="n">
        <f>IF(AM155="","",AM155-AN155)</f>
        <v>0</v>
      </c>
      <c r="AC155" s="431" t="str">
        <f>IF(AM155="","فاقد داده",IF(AM155&gt;AO155,"انتقال به تثبیت نهایی",IF(AM155&lt;TODAY(),"عقب‌افتاده",IF(AM155=TODAY(),"سررسید امروز","آینده"))))</f>
        <v>آینده</v>
      </c>
      <c r="AD155" s="432" t="str">
        <f>IF(OR(AM155&gt;AO155,Z155="تثبیت نهایی"),"بله","خیر")</f>
        <v>خیر</v>
      </c>
      <c r="AE155" s="436" t="str">
        <v>این فرمول فقط تاریخ پیشنهادی را محاسبه می‌کند و ردیف‌های برنامهٔ روزانه را خودکار جابه‌جا نمی‌کند.</v>
      </c>
      <c r="AF155" s="1423" t="n">
        <v>46280</v>
      </c>
      <c r="AG155" s="1423" t="n">
        <v>46281</v>
      </c>
      <c r="AH155" s="1423" t="n">
        <v>46283</v>
      </c>
      <c r="AI155" s="1423" t="n">
        <v>46287</v>
      </c>
      <c r="AJ155" s="1423" t="n">
        <v>46294</v>
      </c>
      <c r="AK155" s="1423" t="n">
        <v>46308</v>
      </c>
      <c r="AL155" s="1423" t="str">
        <f>IFERROR(INDEX('برنامه خرد'!$I$2:$I$82,MATCH(Q155,'برنامه خرد'!$A$2:$A$82,0)),"")</f>
      </c>
      <c r="AM155" s="1423" t="n">
        <f>IF(AL155="",AN155,IF(T155="غلط یا کمتر از ۵۰٪",AL155+1,IF(T155="ناقص یا همراه با حدس",AL155+2,IF(T155="درست ولی کند و مردد",AL155+4,IF(T155="درست، سریع و کامل",IF(W155&gt;=2,AL155+IF(R155&lt;14,14,28),AL155+MIN(28,MAX(3,R155*2))),AN155)))))</f>
        <v>46282</v>
      </c>
      <c r="AN155" s="1423" t="n">
        <v>46282</v>
      </c>
      <c r="AO155" s="1423" t="n">
        <v>46317</v>
      </c>
    </row>
    <row r="156" ht="38" customHeight="1">
      <c r="A156" s="366" t="str">
        <v>U155</v>
      </c>
      <c r="B156" s="367" t="str">
        <v>روان‌شناسی رشد کرین</v>
      </c>
      <c r="C156" s="367" t="str">
        <v>روان‌شناسی رشد کرین</v>
      </c>
      <c r="D156" s="367" t="str">
        <v>10</v>
      </c>
      <c r="E156" s="367" t="str">
        <v>نظریه تاریخی ـ اجتماعی ویگوتسکی در زمینه رشد شناختی</v>
      </c>
      <c r="F156" s="367" t="str">
        <v>واحد مطالعه بر اساس بازهٔ صفحه</v>
      </c>
      <c r="G156" s="367" t="str">
        <v>۳۵۲ تا ۳۵۷</v>
      </c>
      <c r="H156" s="680" t="n">
        <v>6</v>
      </c>
      <c r="I156" s="367" t="str">
        <v>۱۴۰۵/۰۶/۲۶</v>
      </c>
      <c r="J156" s="683" t="n">
        <v>25</v>
      </c>
      <c r="K156" s="367" t="str">
        <v>۱۴۰۵/۰۶/۲۶</v>
      </c>
      <c r="L156" s="367" t="str">
        <v>۱۴۰۵/۰۶/۲۷</v>
      </c>
      <c r="M156" s="367" t="str">
        <v>۱۴۰۵/۰۶/۲۹</v>
      </c>
      <c r="N156" s="367" t="str">
        <v>۱۴۰۵/۰۷/۰۲</v>
      </c>
      <c r="O156" s="367" t="str">
        <v>۱۴۰۵/۰۷/۰۹</v>
      </c>
      <c r="P156" s="367" t="str">
        <v>۱۴۰۵/۰۷/۲۳</v>
      </c>
      <c r="Q156" s="411"/>
      <c r="R156" s="687" t="n">
        <v>1</v>
      </c>
      <c r="S156" s="687"/>
      <c r="T156" s="412"/>
      <c r="U156" s="412"/>
      <c r="V156" s="412"/>
      <c r="W156" s="687" t="str">
        <v>0</v>
      </c>
      <c r="X156" s="412" t="str">
        <v>خیر</v>
      </c>
      <c r="Y156" s="413" t="str">
        <v>خیر</v>
      </c>
      <c r="Z156" s="430" t="str">
        <f>IF(AM156="","",IF(AM156&gt;AO156,"تثبیت نهایی",IFERROR(INDEX('برنامه خرد'!$A$2:$A$82,MATCH(AM156,'برنامه خرد'!$I$2:$I$82,0)),"تثبیت نهایی")))</f>
        <v>۱۴۰۵/۰۶/۲۷</v>
      </c>
      <c r="AA156" s="431" t="str">
        <v>۱۴۰۵/۰۶/۲۷</v>
      </c>
      <c r="AB156" s="690" t="n">
        <f>IF(AM156="","",AM156-AN156)</f>
        <v>0</v>
      </c>
      <c r="AC156" s="431" t="str">
        <f>IF(AM156="","فاقد داده",IF(AM156&gt;AO156,"انتقال به تثبیت نهایی",IF(AM156&lt;TODAY(),"عقب‌افتاده",IF(AM156=TODAY(),"سررسید امروز","آینده"))))</f>
        <v>آینده</v>
      </c>
      <c r="AD156" s="432" t="str">
        <f>IF(OR(AM156&gt;AO156,Z156="تثبیت نهایی"),"بله","خیر")</f>
        <v>خیر</v>
      </c>
      <c r="AE156" s="436" t="str">
        <v>این فرمول فقط تاریخ پیشنهادی را محاسبه می‌کند و ردیف‌های برنامهٔ روزانه را خودکار جابه‌جا نمی‌کند.</v>
      </c>
      <c r="AF156" s="1423" t="n">
        <v>46282</v>
      </c>
      <c r="AG156" s="1423" t="n">
        <v>46283</v>
      </c>
      <c r="AH156" s="1423" t="n">
        <v>46285</v>
      </c>
      <c r="AI156" s="1423" t="n">
        <v>46289</v>
      </c>
      <c r="AJ156" s="1423" t="n">
        <v>46296</v>
      </c>
      <c r="AK156" s="1423" t="n">
        <v>46310</v>
      </c>
      <c r="AL156" s="1423" t="str">
        <f>IFERROR(INDEX('برنامه خرد'!$I$2:$I$82,MATCH(Q156,'برنامه خرد'!$A$2:$A$82,0)),"")</f>
      </c>
      <c r="AM156" s="1423" t="n">
        <f>IF(AL156="",AN156,IF(T156="غلط یا کمتر از ۵۰٪",AL156+1,IF(T156="ناقص یا همراه با حدس",AL156+2,IF(T156="درست ولی کند و مردد",AL156+4,IF(T156="درست، سریع و کامل",IF(W156&gt;=2,AL156+IF(R156&lt;14,14,28),AL156+MIN(28,MAX(3,R156*2))),AN156)))))</f>
        <v>46283</v>
      </c>
      <c r="AN156" s="1423" t="n">
        <v>46283</v>
      </c>
      <c r="AO156" s="1423" t="n">
        <v>46317</v>
      </c>
    </row>
    <row r="157" ht="38" customHeight="1">
      <c r="A157" s="280" t="str">
        <v>U156</v>
      </c>
      <c r="B157" s="281" t="str">
        <v>روان‌شناسی رشد کرین</v>
      </c>
      <c r="C157" s="281" t="str">
        <v>روان‌شناسی رشد کرین</v>
      </c>
      <c r="D157" s="281" t="str">
        <v>10</v>
      </c>
      <c r="E157" s="281" t="str">
        <v>نظریه تاریخی ـ اجتماعی ویگوتسکی در زمینه رشد شناختی</v>
      </c>
      <c r="F157" s="281" t="str">
        <v>واحد مطالعه بر اساس بازهٔ صفحه</v>
      </c>
      <c r="G157" s="281" t="str">
        <v>۳۵۸ تا ۳۷۷</v>
      </c>
      <c r="H157" s="681" t="n">
        <v>20</v>
      </c>
      <c r="I157" s="281" t="str">
        <v>۱۴۰۵/۰۶/۲۷</v>
      </c>
      <c r="J157" s="684" t="n">
        <v>87</v>
      </c>
      <c r="K157" s="281" t="str">
        <v>۱۴۰۵/۰۶/۲۷</v>
      </c>
      <c r="L157" s="281" t="str">
        <v>۱۴۰۵/۰۶/۲۸</v>
      </c>
      <c r="M157" s="281" t="str">
        <v>۱۴۰۵/۰۶/۳۰</v>
      </c>
      <c r="N157" s="281" t="str">
        <v>۱۴۰۵/۰۷/۰۳</v>
      </c>
      <c r="O157" s="281" t="str">
        <v>۱۴۰۵/۰۷/۱۰</v>
      </c>
      <c r="P157" s="281" t="str">
        <v>۱۴۰۵/۰۷/۲۴</v>
      </c>
      <c r="Q157" s="411"/>
      <c r="R157" s="687" t="n">
        <v>1</v>
      </c>
      <c r="S157" s="687"/>
      <c r="T157" s="412"/>
      <c r="U157" s="412"/>
      <c r="V157" s="412"/>
      <c r="W157" s="687" t="str">
        <v>0</v>
      </c>
      <c r="X157" s="412" t="str">
        <v>خیر</v>
      </c>
      <c r="Y157" s="413" t="str">
        <v>خیر</v>
      </c>
      <c r="Z157" s="430" t="str">
        <f>IF(AM157="","",IF(AM157&gt;AO157,"تثبیت نهایی",IFERROR(INDEX('برنامه خرد'!$A$2:$A$82,MATCH(AM157,'برنامه خرد'!$I$2:$I$82,0)),"تثبیت نهایی")))</f>
        <v>۱۴۰۵/۰۶/۲۹</v>
      </c>
      <c r="AA157" s="431" t="str">
        <v>۱۴۰۵/۰۶/۲۹</v>
      </c>
      <c r="AB157" s="690" t="n">
        <f>IF(AM157="","",AM157-AN157)</f>
        <v>0</v>
      </c>
      <c r="AC157" s="431" t="str">
        <f>IF(AM157="","فاقد داده",IF(AM157&gt;AO157,"انتقال به تثبیت نهایی",IF(AM157&lt;TODAY(),"عقب‌افتاده",IF(AM157=TODAY(),"سررسید امروز","آینده"))))</f>
        <v>آینده</v>
      </c>
      <c r="AD157" s="432" t="str">
        <f>IF(OR(AM157&gt;AO157,Z157="تثبیت نهایی"),"بله","خیر")</f>
        <v>خیر</v>
      </c>
      <c r="AE157" s="436" t="str">
        <v>این فرمول فقط تاریخ پیشنهادی را محاسبه می‌کند و ردیف‌های برنامهٔ روزانه را خودکار جابه‌جا نمی‌کند.</v>
      </c>
      <c r="AF157" s="1423" t="n">
        <v>46283</v>
      </c>
      <c r="AG157" s="1423" t="n">
        <v>46284</v>
      </c>
      <c r="AH157" s="1423" t="n">
        <v>46286</v>
      </c>
      <c r="AI157" s="1423" t="n">
        <v>46290</v>
      </c>
      <c r="AJ157" s="1423" t="n">
        <v>46297</v>
      </c>
      <c r="AK157" s="1423" t="n">
        <v>46311</v>
      </c>
      <c r="AL157" s="1423" t="str">
        <f>IFERROR(INDEX('برنامه خرد'!$I$2:$I$82,MATCH(Q157,'برنامه خرد'!$A$2:$A$82,0)),"")</f>
      </c>
      <c r="AM157" s="1423" t="n">
        <f>IF(AL157="",AN157,IF(T157="غلط یا کمتر از ۵۰٪",AL157+1,IF(T157="ناقص یا همراه با حدس",AL157+2,IF(T157="درست ولی کند و مردد",AL157+4,IF(T157="درست، سریع و کامل",IF(W157&gt;=2,AL157+IF(R157&lt;14,14,28),AL157+MIN(28,MAX(3,R157*2))),AN157)))))</f>
        <v>46285</v>
      </c>
      <c r="AN157" s="1423" t="n">
        <v>46285</v>
      </c>
      <c r="AO157" s="1423" t="n">
        <v>46317</v>
      </c>
    </row>
    <row r="158" ht="38" customHeight="1">
      <c r="A158" s="366" t="str">
        <v>U157</v>
      </c>
      <c r="B158" s="367" t="str">
        <v>روان‌شناسی رشد کرین</v>
      </c>
      <c r="C158" s="367" t="str">
        <v>روان‌شناسی رشد کرین</v>
      </c>
      <c r="D158" s="367" t="str">
        <v>10</v>
      </c>
      <c r="E158" s="367" t="str">
        <v>نظریه تاریخی ـ اجتماعی ویگوتسکی در زمینه رشد شناختی</v>
      </c>
      <c r="F158" s="367" t="str">
        <v>واحد مطالعه بر اساس بازهٔ صفحه</v>
      </c>
      <c r="G158" s="367" t="str">
        <v>۳۷۸ تا ۳۸۳</v>
      </c>
      <c r="H158" s="680" t="n">
        <v>6</v>
      </c>
      <c r="I158" s="367" t="str">
        <v>۱۴۰۵/۰۶/۲۹</v>
      </c>
      <c r="J158" s="683" t="n">
        <v>25</v>
      </c>
      <c r="K158" s="367" t="str">
        <v>۱۴۰۵/۰۶/۲۹</v>
      </c>
      <c r="L158" s="367" t="str">
        <v>۱۴۰۵/۰۶/۳۰</v>
      </c>
      <c r="M158" s="367" t="str">
        <v>۱۴۰۵/۰۷/۰۱</v>
      </c>
      <c r="N158" s="367" t="str">
        <v>۱۴۰۵/۰۷/۰۵</v>
      </c>
      <c r="O158" s="367" t="str">
        <v>۱۴۰۵/۰۷/۱۲</v>
      </c>
      <c r="P158" s="367" t="str">
        <v>۱۴۰۵/۰۷/۲۶</v>
      </c>
      <c r="Q158" s="411"/>
      <c r="R158" s="687" t="n">
        <v>1</v>
      </c>
      <c r="S158" s="687"/>
      <c r="T158" s="412"/>
      <c r="U158" s="412"/>
      <c r="V158" s="412"/>
      <c r="W158" s="687" t="str">
        <v>0</v>
      </c>
      <c r="X158" s="412" t="str">
        <v>خیر</v>
      </c>
      <c r="Y158" s="413" t="str">
        <v>خیر</v>
      </c>
      <c r="Z158" s="430" t="str">
        <f>IF(AM158="","",IF(AM158&gt;AO158,"تثبیت نهایی",IFERROR(INDEX('برنامه خرد'!$A$2:$A$82,MATCH(AM158,'برنامه خرد'!$I$2:$I$82,0)),"تثبیت نهایی")))</f>
        <v>۱۴۰۵/۰۶/۳۰</v>
      </c>
      <c r="AA158" s="431" t="str">
        <v>۱۴۰۵/۰۶/۳۰</v>
      </c>
      <c r="AB158" s="690" t="n">
        <f>IF(AM158="","",AM158-AN158)</f>
        <v>0</v>
      </c>
      <c r="AC158" s="431" t="str">
        <f>IF(AM158="","فاقد داده",IF(AM158&gt;AO158,"انتقال به تثبیت نهایی",IF(AM158&lt;TODAY(),"عقب‌افتاده",IF(AM158=TODAY(),"سررسید امروز","آینده"))))</f>
        <v>آینده</v>
      </c>
      <c r="AD158" s="432" t="str">
        <f>IF(OR(AM158&gt;AO158,Z158="تثبیت نهایی"),"بله","خیر")</f>
        <v>خیر</v>
      </c>
      <c r="AE158" s="436" t="str">
        <v>این فرمول فقط تاریخ پیشنهادی را محاسبه می‌کند و ردیف‌های برنامهٔ روزانه را خودکار جابه‌جا نمی‌کند.</v>
      </c>
      <c r="AF158" s="1423" t="n">
        <v>46285</v>
      </c>
      <c r="AG158" s="1423" t="n">
        <v>46286</v>
      </c>
      <c r="AH158" s="1423" t="n">
        <v>46288</v>
      </c>
      <c r="AI158" s="1423" t="n">
        <v>46292</v>
      </c>
      <c r="AJ158" s="1423" t="n">
        <v>46299</v>
      </c>
      <c r="AK158" s="1423" t="n">
        <v>46313</v>
      </c>
      <c r="AL158" s="1423" t="str">
        <f>IFERROR(INDEX('برنامه خرد'!$I$2:$I$82,MATCH(Q158,'برنامه خرد'!$A$2:$A$82,0)),"")</f>
      </c>
      <c r="AM158" s="1423" t="n">
        <f>IF(AL158="",AN158,IF(T158="غلط یا کمتر از ۵۰٪",AL158+1,IF(T158="ناقص یا همراه با حدس",AL158+2,IF(T158="درست ولی کند و مردد",AL158+4,IF(T158="درست، سریع و کامل",IF(W158&gt;=2,AL158+IF(R158&lt;14,14,28),AL158+MIN(28,MAX(3,R158*2))),AN158)))))</f>
        <v>46286</v>
      </c>
      <c r="AN158" s="1423" t="n">
        <v>46286</v>
      </c>
      <c r="AO158" s="1423" t="n">
        <v>46317</v>
      </c>
    </row>
    <row r="159" ht="38" customHeight="1">
      <c r="A159" s="280" t="str">
        <v>U158</v>
      </c>
      <c r="B159" s="281" t="str">
        <v>روان‌شناسی رشد کرین</v>
      </c>
      <c r="C159" s="281" t="str">
        <v>روان‌شناسی رشد کرین</v>
      </c>
      <c r="D159" s="281" t="str">
        <v>10</v>
      </c>
      <c r="E159" s="281" t="str">
        <v>نظریه تاریخی ـ اجتماعی ویگوتسکی در زمینه رشد شناختی</v>
      </c>
      <c r="F159" s="281" t="str">
        <v>واحد مطالعه بر اساس بازهٔ صفحه</v>
      </c>
      <c r="G159" s="281" t="str">
        <v>۳۸۴ تا ۳۸۹</v>
      </c>
      <c r="H159" s="681" t="n">
        <v>6</v>
      </c>
      <c r="I159" s="281" t="str">
        <v>۱۴۰۵/۰۶/۳۰</v>
      </c>
      <c r="J159" s="684" t="n">
        <v>25</v>
      </c>
      <c r="K159" s="281" t="str">
        <v>۱۴۰۵/۰۶/۳۰</v>
      </c>
      <c r="L159" s="281" t="str">
        <v>۱۴۰۵/۰۶/۳۱</v>
      </c>
      <c r="M159" s="281" t="str">
        <v>۱۴۰۵/۰۷/۰۲</v>
      </c>
      <c r="N159" s="281" t="str">
        <v>۱۴۰۵/۰۷/۰۶</v>
      </c>
      <c r="O159" s="281" t="str">
        <v>۱۴۰۵/۰۷/۱۳</v>
      </c>
      <c r="P159" s="281" t="str">
        <v>۱۴۰۵/۰۷/۲۷</v>
      </c>
      <c r="Q159" s="411"/>
      <c r="R159" s="687" t="n">
        <v>1</v>
      </c>
      <c r="S159" s="687"/>
      <c r="T159" s="412"/>
      <c r="U159" s="412"/>
      <c r="V159" s="412"/>
      <c r="W159" s="687" t="str">
        <v>0</v>
      </c>
      <c r="X159" s="412" t="str">
        <v>خیر</v>
      </c>
      <c r="Y159" s="413" t="str">
        <v>خیر</v>
      </c>
      <c r="Z159" s="430" t="str">
        <f>IF(AM159="","",IF(AM159&gt;AO159,"تثبیت نهایی",IFERROR(INDEX('برنامه خرد'!$A$2:$A$82,MATCH(AM159,'برنامه خرد'!$I$2:$I$82,0)),"تثبیت نهایی")))</f>
        <v>۱۴۰۵/۰۶/۳۱</v>
      </c>
      <c r="AA159" s="431" t="str">
        <v>۱۴۰۵/۰۶/۳۱</v>
      </c>
      <c r="AB159" s="690" t="n">
        <f>IF(AM159="","",AM159-AN159)</f>
        <v>0</v>
      </c>
      <c r="AC159" s="431" t="str">
        <f>IF(AM159="","فاقد داده",IF(AM159&gt;AO159,"انتقال به تثبیت نهایی",IF(AM159&lt;TODAY(),"عقب‌افتاده",IF(AM159=TODAY(),"سررسید امروز","آینده"))))</f>
        <v>آینده</v>
      </c>
      <c r="AD159" s="432" t="str">
        <f>IF(OR(AM159&gt;AO159,Z159="تثبیت نهایی"),"بله","خیر")</f>
        <v>خیر</v>
      </c>
      <c r="AE159" s="436" t="str">
        <v>این فرمول فقط تاریخ پیشنهادی را محاسبه می‌کند و ردیف‌های برنامهٔ روزانه را خودکار جابه‌جا نمی‌کند.</v>
      </c>
      <c r="AF159" s="1423" t="n">
        <v>46286</v>
      </c>
      <c r="AG159" s="1423" t="n">
        <v>46287</v>
      </c>
      <c r="AH159" s="1423" t="n">
        <v>46289</v>
      </c>
      <c r="AI159" s="1423" t="n">
        <v>46293</v>
      </c>
      <c r="AJ159" s="1423" t="n">
        <v>46300</v>
      </c>
      <c r="AK159" s="1423" t="n">
        <v>46314</v>
      </c>
      <c r="AL159" s="1423" t="str">
        <f>IFERROR(INDEX('برنامه خرد'!$I$2:$I$82,MATCH(Q159,'برنامه خرد'!$A$2:$A$82,0)),"")</f>
      </c>
      <c r="AM159" s="1423" t="n">
        <f>IF(AL159="",AN159,IF(T159="غلط یا کمتر از ۵۰٪",AL159+1,IF(T159="ناقص یا همراه با حدس",AL159+2,IF(T159="درست ولی کند و مردد",AL159+4,IF(T159="درست، سریع و کامل",IF(W159&gt;=2,AL159+IF(R159&lt;14,14,28),AL159+MIN(28,MAX(3,R159*2))),AN159)))))</f>
        <v>46287</v>
      </c>
      <c r="AN159" s="1423" t="n">
        <v>46287</v>
      </c>
      <c r="AO159" s="1423" t="n">
        <v>46317</v>
      </c>
    </row>
    <row r="160" ht="38" customHeight="1">
      <c r="A160" s="366" t="str">
        <v>U159</v>
      </c>
      <c r="B160" s="367" t="str">
        <v>روان‌شناسی رشد کرین</v>
      </c>
      <c r="C160" s="367" t="str">
        <v>روان‌شناسی رشد کرین</v>
      </c>
      <c r="D160" s="367" t="str">
        <v>10</v>
      </c>
      <c r="E160" s="367" t="str">
        <v>نظریه تاریخی ـ اجتماعی ویگوتسکی در زمینه رشد شناختی</v>
      </c>
      <c r="F160" s="367" t="str">
        <v>واحد مطالعه بر اساس بازهٔ صفحه</v>
      </c>
      <c r="G160" s="367" t="str">
        <v>۳۹۰ تا ۳۹۶</v>
      </c>
      <c r="H160" s="680" t="n">
        <v>7</v>
      </c>
      <c r="I160" s="367" t="str">
        <v>۱۴۰۵/۰۶/۳۱</v>
      </c>
      <c r="J160" s="683" t="n">
        <v>30.4</v>
      </c>
      <c r="K160" s="367" t="str">
        <v>۱۴۰۵/۰۶/۳۱</v>
      </c>
      <c r="L160" s="367" t="str">
        <v>۱۴۰۵/۰۷/۰۱</v>
      </c>
      <c r="M160" s="367" t="str">
        <v>۱۴۰۵/۰۷/۰۳</v>
      </c>
      <c r="N160" s="367" t="str">
        <v>۱۴۰۵/۰۷/۰۷</v>
      </c>
      <c r="O160" s="367" t="str">
        <v>۱۴۰۵/۰۷/۱۴</v>
      </c>
      <c r="P160" s="367" t="str">
        <v>۱۴۰۵/۰۷/۲۸</v>
      </c>
      <c r="Q160" s="411"/>
      <c r="R160" s="687" t="n">
        <v>1</v>
      </c>
      <c r="S160" s="687"/>
      <c r="T160" s="412"/>
      <c r="U160" s="412"/>
      <c r="V160" s="412"/>
      <c r="W160" s="687" t="str">
        <v>0</v>
      </c>
      <c r="X160" s="412" t="str">
        <v>خیر</v>
      </c>
      <c r="Y160" s="413" t="str">
        <v>خیر</v>
      </c>
      <c r="Z160" s="430" t="str">
        <f>IF(AM160="","",IF(AM160&gt;AO160,"تثبیت نهایی",IFERROR(INDEX('برنامه خرد'!$A$2:$A$82,MATCH(AM160,'برنامه خرد'!$I$2:$I$82,0)),"تثبیت نهایی")))</f>
        <v>۱۴۰۵/۰۷/۰۲</v>
      </c>
      <c r="AA160" s="431" t="str">
        <v>۱۴۰۵/۰۷/۰۲</v>
      </c>
      <c r="AB160" s="690" t="n">
        <f>IF(AM160="","",AM160-AN160)</f>
        <v>0</v>
      </c>
      <c r="AC160" s="431" t="str">
        <f>IF(AM160="","فاقد داده",IF(AM160&gt;AO160,"انتقال به تثبیت نهایی",IF(AM160&lt;TODAY(),"عقب‌افتاده",IF(AM160=TODAY(),"سررسید امروز","آینده"))))</f>
        <v>آینده</v>
      </c>
      <c r="AD160" s="432" t="str">
        <f>IF(OR(AM160&gt;AO160,Z160="تثبیت نهایی"),"بله","خیر")</f>
        <v>خیر</v>
      </c>
      <c r="AE160" s="436" t="str">
        <v>این فرمول فقط تاریخ پیشنهادی را محاسبه می‌کند و ردیف‌های برنامهٔ روزانه را خودکار جابه‌جا نمی‌کند.</v>
      </c>
      <c r="AF160" s="1423" t="n">
        <v>46287</v>
      </c>
      <c r="AG160" s="1423" t="n">
        <v>46288</v>
      </c>
      <c r="AH160" s="1423" t="n">
        <v>46290</v>
      </c>
      <c r="AI160" s="1423" t="n">
        <v>46294</v>
      </c>
      <c r="AJ160" s="1423" t="n">
        <v>46301</v>
      </c>
      <c r="AK160" s="1423" t="n">
        <v>46315</v>
      </c>
      <c r="AL160" s="1423" t="str">
        <f>IFERROR(INDEX('برنامه خرد'!$I$2:$I$82,MATCH(Q160,'برنامه خرد'!$A$2:$A$82,0)),"")</f>
      </c>
      <c r="AM160" s="1423" t="n">
        <f>IF(AL160="",AN160,IF(T160="غلط یا کمتر از ۵۰٪",AL160+1,IF(T160="ناقص یا همراه با حدس",AL160+2,IF(T160="درست ولی کند و مردد",AL160+4,IF(T160="درست، سریع و کامل",IF(W160&gt;=2,AL160+IF(R160&lt;14,14,28),AL160+MIN(28,MAX(3,R160*2))),AN160)))))</f>
        <v>46289</v>
      </c>
      <c r="AN160" s="1423" t="n">
        <v>46289</v>
      </c>
      <c r="AO160" s="1423" t="n">
        <v>46317</v>
      </c>
    </row>
    <row r="161" ht="38" customHeight="1">
      <c r="A161" s="280" t="str">
        <v>U160</v>
      </c>
      <c r="B161" s="281" t="str">
        <v>روان‌شناسی رشد کرین</v>
      </c>
      <c r="C161" s="281" t="str">
        <v>روان‌شناسی رشد کرین</v>
      </c>
      <c r="D161" s="281" t="str">
        <v>11</v>
      </c>
      <c r="E161" s="281" t="str">
        <v>نظریه روان‌تحلیلی فروید</v>
      </c>
      <c r="F161" s="281" t="str">
        <v>واحد مطالعه بر اساس بازهٔ صفحه</v>
      </c>
      <c r="G161" s="281" t="str">
        <v>۳۹۷ تا ۴۰۹</v>
      </c>
      <c r="H161" s="681" t="n">
        <v>13</v>
      </c>
      <c r="I161" s="281" t="str">
        <v>۱۴۰۵/۰۶/۳۱</v>
      </c>
      <c r="J161" s="684" t="n">
        <v>56.5</v>
      </c>
      <c r="K161" s="281" t="str">
        <v>۱۴۰۵/۰۶/۳۱</v>
      </c>
      <c r="L161" s="281" t="str">
        <v>۱۴۰۵/۰۷/۰۱</v>
      </c>
      <c r="M161" s="281" t="str">
        <v>۱۴۰۵/۰۷/۰۳</v>
      </c>
      <c r="N161" s="281" t="str">
        <v>۱۴۰۵/۰۷/۰۷</v>
      </c>
      <c r="O161" s="281" t="str">
        <v>۱۴۰۵/۰۷/۱۴</v>
      </c>
      <c r="P161" s="281" t="str">
        <v>۱۴۰۵/۰۷/۲۸</v>
      </c>
      <c r="Q161" s="411"/>
      <c r="R161" s="687" t="n">
        <v>1</v>
      </c>
      <c r="S161" s="687"/>
      <c r="T161" s="412"/>
      <c r="U161" s="412"/>
      <c r="V161" s="412"/>
      <c r="W161" s="687" t="str">
        <v>0</v>
      </c>
      <c r="X161" s="412" t="str">
        <v>خیر</v>
      </c>
      <c r="Y161" s="413" t="str">
        <v>خیر</v>
      </c>
      <c r="Z161" s="430" t="str">
        <f>IF(AM161="","",IF(AM161&gt;AO161,"تثبیت نهایی",IFERROR(INDEX('برنامه خرد'!$A$2:$A$82,MATCH(AM161,'برنامه خرد'!$I$2:$I$82,0)),"تثبیت نهایی")))</f>
        <v>۱۴۰۵/۰۷/۰۲</v>
      </c>
      <c r="AA161" s="431" t="str">
        <v>۱۴۰۵/۰۷/۰۲</v>
      </c>
      <c r="AB161" s="690" t="n">
        <f>IF(AM161="","",AM161-AN161)</f>
        <v>0</v>
      </c>
      <c r="AC161" s="431" t="str">
        <f>IF(AM161="","فاقد داده",IF(AM161&gt;AO161,"انتقال به تثبیت نهایی",IF(AM161&lt;TODAY(),"عقب‌افتاده",IF(AM161=TODAY(),"سررسید امروز","آینده"))))</f>
        <v>آینده</v>
      </c>
      <c r="AD161" s="432" t="str">
        <f>IF(OR(AM161&gt;AO161,Z161="تثبیت نهایی"),"بله","خیر")</f>
        <v>خیر</v>
      </c>
      <c r="AE161" s="436" t="str">
        <v>این فرمول فقط تاریخ پیشنهادی را محاسبه می‌کند و ردیف‌های برنامهٔ روزانه را خودکار جابه‌جا نمی‌کند.</v>
      </c>
      <c r="AF161" s="1423" t="n">
        <v>46287</v>
      </c>
      <c r="AG161" s="1423" t="n">
        <v>46288</v>
      </c>
      <c r="AH161" s="1423" t="n">
        <v>46290</v>
      </c>
      <c r="AI161" s="1423" t="n">
        <v>46294</v>
      </c>
      <c r="AJ161" s="1423" t="n">
        <v>46301</v>
      </c>
      <c r="AK161" s="1423" t="n">
        <v>46315</v>
      </c>
      <c r="AL161" s="1423" t="str">
        <f>IFERROR(INDEX('برنامه خرد'!$I$2:$I$82,MATCH(Q161,'برنامه خرد'!$A$2:$A$82,0)),"")</f>
      </c>
      <c r="AM161" s="1423" t="n">
        <f>IF(AL161="",AN161,IF(T161="غلط یا کمتر از ۵۰٪",AL161+1,IF(T161="ناقص یا همراه با حدس",AL161+2,IF(T161="درست ولی کند و مردد",AL161+4,IF(T161="درست، سریع و کامل",IF(W161&gt;=2,AL161+IF(R161&lt;14,14,28),AL161+MIN(28,MAX(3,R161*2))),AN161)))))</f>
        <v>46289</v>
      </c>
      <c r="AN161" s="1423" t="n">
        <v>46289</v>
      </c>
      <c r="AO161" s="1423" t="n">
        <v>46317</v>
      </c>
    </row>
    <row r="162" ht="38" customHeight="1">
      <c r="A162" s="366" t="str">
        <v>U161</v>
      </c>
      <c r="B162" s="367" t="str">
        <v>روان‌شناسی رشد کرین</v>
      </c>
      <c r="C162" s="367" t="str">
        <v>روان‌شناسی رشد کرین</v>
      </c>
      <c r="D162" s="367" t="str">
        <v>11</v>
      </c>
      <c r="E162" s="367" t="str">
        <v>نظریه روان‌تحلیلی فروید</v>
      </c>
      <c r="F162" s="367" t="str">
        <v>واحد مطالعه بر اساس بازهٔ صفحه</v>
      </c>
      <c r="G162" s="367" t="str">
        <v>۴۱۰ تا ۴۲۹</v>
      </c>
      <c r="H162" s="680" t="n">
        <v>20</v>
      </c>
      <c r="I162" s="367" t="str">
        <v>۱۴۰۵/۰۷/۰۲</v>
      </c>
      <c r="J162" s="683" t="n">
        <v>87</v>
      </c>
      <c r="K162" s="367" t="str">
        <v>۱۴۰۵/۰۷/۰۲</v>
      </c>
      <c r="L162" s="367" t="str">
        <v>۱۴۰۵/۰۷/۰۳</v>
      </c>
      <c r="M162" s="367" t="str">
        <v>۱۴۰۵/۰۷/۰۵</v>
      </c>
      <c r="N162" s="367" t="str">
        <v>۱۴۰۵/۰۷/۰۹</v>
      </c>
      <c r="O162" s="367" t="str">
        <v>۱۴۰۵/۰۷/۱۶</v>
      </c>
      <c r="P162" s="367" t="str">
        <v>۱۴۰۵/۰۷/۳۰</v>
      </c>
      <c r="Q162" s="411"/>
      <c r="R162" s="687" t="n">
        <v>1</v>
      </c>
      <c r="S162" s="687"/>
      <c r="T162" s="412"/>
      <c r="U162" s="412"/>
      <c r="V162" s="412"/>
      <c r="W162" s="687" t="str">
        <v>0</v>
      </c>
      <c r="X162" s="412" t="str">
        <v>خیر</v>
      </c>
      <c r="Y162" s="413" t="str">
        <v>خیر</v>
      </c>
      <c r="Z162" s="430" t="str">
        <f>IF(AM162="","",IF(AM162&gt;AO162,"تثبیت نهایی",IFERROR(INDEX('برنامه خرد'!$A$2:$A$82,MATCH(AM162,'برنامه خرد'!$I$2:$I$82,0)),"تثبیت نهایی")))</f>
        <v>۱۴۰۵/۰۷/۰۴</v>
      </c>
      <c r="AA162" s="431" t="str">
        <v>۱۴۰۵/۰۷/۰۴</v>
      </c>
      <c r="AB162" s="690" t="n">
        <f>IF(AM162="","",AM162-AN162)</f>
        <v>0</v>
      </c>
      <c r="AC162" s="431" t="str">
        <f>IF(AM162="","فاقد داده",IF(AM162&gt;AO162,"انتقال به تثبیت نهایی",IF(AM162&lt;TODAY(),"عقب‌افتاده",IF(AM162=TODAY(),"سررسید امروز","آینده"))))</f>
        <v>آینده</v>
      </c>
      <c r="AD162" s="432" t="str">
        <f>IF(OR(AM162&gt;AO162,Z162="تثبیت نهایی"),"بله","خیر")</f>
        <v>خیر</v>
      </c>
      <c r="AE162" s="436" t="str">
        <v>این فرمول فقط تاریخ پیشنهادی را محاسبه می‌کند و ردیف‌های برنامهٔ روزانه را خودکار جابه‌جا نمی‌کند.</v>
      </c>
      <c r="AF162" s="1423" t="n">
        <v>46289</v>
      </c>
      <c r="AG162" s="1423" t="n">
        <v>46290</v>
      </c>
      <c r="AH162" s="1423" t="n">
        <v>46292</v>
      </c>
      <c r="AI162" s="1423" t="n">
        <v>46296</v>
      </c>
      <c r="AJ162" s="1423" t="n">
        <v>46303</v>
      </c>
      <c r="AK162" s="1423" t="n">
        <v>46317</v>
      </c>
      <c r="AL162" s="1423" t="str">
        <f>IFERROR(INDEX('برنامه خرد'!$I$2:$I$82,MATCH(Q162,'برنامه خرد'!$A$2:$A$82,0)),"")</f>
      </c>
      <c r="AM162" s="1423" t="n">
        <f>IF(AL162="",AN162,IF(T162="غلط یا کمتر از ۵۰٪",AL162+1,IF(T162="ناقص یا همراه با حدس",AL162+2,IF(T162="درست ولی کند و مردد",AL162+4,IF(T162="درست، سریع و کامل",IF(W162&gt;=2,AL162+IF(R162&lt;14,14,28),AL162+MIN(28,MAX(3,R162*2))),AN162)))))</f>
        <v>46291</v>
      </c>
      <c r="AN162" s="1423" t="n">
        <v>46291</v>
      </c>
      <c r="AO162" s="1423" t="n">
        <v>46317</v>
      </c>
    </row>
    <row r="163" ht="38" customHeight="1">
      <c r="A163" s="280" t="str">
        <v>U162</v>
      </c>
      <c r="B163" s="281" t="str">
        <v>روان‌شناسی رشد کرین</v>
      </c>
      <c r="C163" s="281" t="str">
        <v>روان‌شناسی رشد کرین</v>
      </c>
      <c r="D163" s="281" t="str">
        <v>11</v>
      </c>
      <c r="E163" s="281" t="str">
        <v>نظریه روان‌تحلیلی فروید</v>
      </c>
      <c r="F163" s="281" t="str">
        <v>واحد مطالعه بر اساس بازهٔ صفحه</v>
      </c>
      <c r="G163" s="281" t="str">
        <v>۴۳۰ تا ۴۳۵</v>
      </c>
      <c r="H163" s="681" t="n">
        <v>6</v>
      </c>
      <c r="I163" s="281" t="str">
        <v>۱۴۰۵/۰۷/۰۴</v>
      </c>
      <c r="J163" s="684" t="n">
        <v>25</v>
      </c>
      <c r="K163" s="281" t="str">
        <v>۱۴۰۵/۰۷/۰۴</v>
      </c>
      <c r="L163" s="281" t="str">
        <v>۱۴۰۵/۰۷/۰۵</v>
      </c>
      <c r="M163" s="281" t="str">
        <v>۱۴۰۵/۰۷/۰۷</v>
      </c>
      <c r="N163" s="281" t="str">
        <v>۱۴۰۵/۰۷/۱۱</v>
      </c>
      <c r="O163" s="281" t="str">
        <v>۱۴۰۵/۰۷/۱۸</v>
      </c>
      <c r="P163" s="281" t="str">
        <v>تثبیت نهایی</v>
      </c>
      <c r="Q163" s="411"/>
      <c r="R163" s="687" t="n">
        <v>1</v>
      </c>
      <c r="S163" s="687"/>
      <c r="T163" s="412"/>
      <c r="U163" s="412"/>
      <c r="V163" s="412"/>
      <c r="W163" s="687" t="str">
        <v>0</v>
      </c>
      <c r="X163" s="412" t="str">
        <v>خیر</v>
      </c>
      <c r="Y163" s="413" t="str">
        <v>خیر</v>
      </c>
      <c r="Z163" s="430" t="str">
        <f>IF(AM163="","",IF(AM163&gt;AO163,"تثبیت نهایی",IFERROR(INDEX('برنامه خرد'!$A$2:$A$82,MATCH(AM163,'برنامه خرد'!$I$2:$I$82,0)),"تثبیت نهایی")))</f>
        <v>۱۴۰۵/۰۷/۰۵</v>
      </c>
      <c r="AA163" s="431" t="str">
        <v>۱۴۰۵/۰۷/۰۵</v>
      </c>
      <c r="AB163" s="690" t="n">
        <f>IF(AM163="","",AM163-AN163)</f>
        <v>0</v>
      </c>
      <c r="AC163" s="431" t="str">
        <f>IF(AM163="","فاقد داده",IF(AM163&gt;AO163,"انتقال به تثبیت نهایی",IF(AM163&lt;TODAY(),"عقب‌افتاده",IF(AM163=TODAY(),"سررسید امروز","آینده"))))</f>
        <v>آینده</v>
      </c>
      <c r="AD163" s="432" t="str">
        <f>IF(OR(AM163&gt;AO163,Z163="تثبیت نهایی"),"بله","خیر")</f>
        <v>خیر</v>
      </c>
      <c r="AE163" s="436" t="str">
        <v>این فرمول فقط تاریخ پیشنهادی را محاسبه می‌کند و ردیف‌های برنامهٔ روزانه را خودکار جابه‌جا نمی‌کند.</v>
      </c>
      <c r="AF163" s="1423" t="n">
        <v>46291</v>
      </c>
      <c r="AG163" s="1423" t="n">
        <v>46292</v>
      </c>
      <c r="AH163" s="1423" t="n">
        <v>46294</v>
      </c>
      <c r="AI163" s="1423" t="n">
        <v>46298</v>
      </c>
      <c r="AJ163" s="1423" t="n">
        <v>46305</v>
      </c>
      <c r="AK163" s="1423" t="n">
        <v>46319</v>
      </c>
      <c r="AL163" s="1423" t="str">
        <f>IFERROR(INDEX('برنامه خرد'!$I$2:$I$82,MATCH(Q163,'برنامه خرد'!$A$2:$A$82,0)),"")</f>
      </c>
      <c r="AM163" s="1423" t="n">
        <f>IF(AL163="",AN163,IF(T163="غلط یا کمتر از ۵۰٪",AL163+1,IF(T163="ناقص یا همراه با حدس",AL163+2,IF(T163="درست ولی کند و مردد",AL163+4,IF(T163="درست، سریع و کامل",IF(W163&gt;=2,AL163+IF(R163&lt;14,14,28),AL163+MIN(28,MAX(3,R163*2))),AN163)))))</f>
        <v>46292</v>
      </c>
      <c r="AN163" s="1423" t="n">
        <v>46292</v>
      </c>
      <c r="AO163" s="1423" t="n">
        <v>46317</v>
      </c>
    </row>
    <row r="164" ht="38" customHeight="1">
      <c r="A164" s="366" t="str">
        <v>U163</v>
      </c>
      <c r="B164" s="367" t="str">
        <v>روان‌شناسی رشد کرین</v>
      </c>
      <c r="C164" s="367" t="str">
        <v>روان‌شناسی رشد کرین</v>
      </c>
      <c r="D164" s="367" t="str">
        <v>11</v>
      </c>
      <c r="E164" s="367" t="str">
        <v>نظریه روان‌تحلیلی فروید</v>
      </c>
      <c r="F164" s="367" t="str">
        <v>واحد مطالعه بر اساس بازهٔ صفحه</v>
      </c>
      <c r="G164" s="367" t="str">
        <v>۴۳۶ تا ۴۴۰</v>
      </c>
      <c r="H164" s="680" t="n">
        <v>5</v>
      </c>
      <c r="I164" s="367" t="str">
        <v>۱۴۰۵/۰۷/۰۵</v>
      </c>
      <c r="J164" s="683" t="n">
        <v>20.8</v>
      </c>
      <c r="K164" s="367" t="str">
        <v>۱۴۰۵/۰۷/۰۵</v>
      </c>
      <c r="L164" s="367" t="str">
        <v>۱۴۰۵/۰۷/۰۶</v>
      </c>
      <c r="M164" s="367" t="str">
        <v>۱۴۰۵/۰۷/۰۸</v>
      </c>
      <c r="N164" s="367" t="str">
        <v>۱۴۰۵/۰۷/۱۲</v>
      </c>
      <c r="O164" s="367" t="str">
        <v>۱۴۰۵/۰۷/۱۹</v>
      </c>
      <c r="P164" s="367" t="str">
        <v>تثبیت نهایی</v>
      </c>
      <c r="Q164" s="411"/>
      <c r="R164" s="687" t="n">
        <v>1</v>
      </c>
      <c r="S164" s="687"/>
      <c r="T164" s="412"/>
      <c r="U164" s="412"/>
      <c r="V164" s="412"/>
      <c r="W164" s="687" t="str">
        <v>0</v>
      </c>
      <c r="X164" s="412" t="str">
        <v>خیر</v>
      </c>
      <c r="Y164" s="413" t="str">
        <v>خیر</v>
      </c>
      <c r="Z164" s="430" t="str">
        <f>IF(AM164="","",IF(AM164&gt;AO164,"تثبیت نهایی",IFERROR(INDEX('برنامه خرد'!$A$2:$A$82,MATCH(AM164,'برنامه خرد'!$I$2:$I$82,0)),"تثبیت نهایی")))</f>
        <v>۱۴۰۵/۰۷/۰۶</v>
      </c>
      <c r="AA164" s="431" t="str">
        <v>۱۴۰۵/۰۷/۰۶</v>
      </c>
      <c r="AB164" s="690" t="n">
        <f>IF(AM164="","",AM164-AN164)</f>
        <v>0</v>
      </c>
      <c r="AC164" s="431" t="str">
        <f>IF(AM164="","فاقد داده",IF(AM164&gt;AO164,"انتقال به تثبیت نهایی",IF(AM164&lt;TODAY(),"عقب‌افتاده",IF(AM164=TODAY(),"سررسید امروز","آینده"))))</f>
        <v>آینده</v>
      </c>
      <c r="AD164" s="432" t="str">
        <f>IF(OR(AM164&gt;AO164,Z164="تثبیت نهایی"),"بله","خیر")</f>
        <v>خیر</v>
      </c>
      <c r="AE164" s="436" t="str">
        <v>این فرمول فقط تاریخ پیشنهادی را محاسبه می‌کند و ردیف‌های برنامهٔ روزانه را خودکار جابه‌جا نمی‌کند.</v>
      </c>
      <c r="AF164" s="1423" t="n">
        <v>46292</v>
      </c>
      <c r="AG164" s="1423" t="n">
        <v>46293</v>
      </c>
      <c r="AH164" s="1423" t="n">
        <v>46295</v>
      </c>
      <c r="AI164" s="1423" t="n">
        <v>46299</v>
      </c>
      <c r="AJ164" s="1423" t="n">
        <v>46306</v>
      </c>
      <c r="AK164" s="1423" t="n">
        <v>46320</v>
      </c>
      <c r="AL164" s="1423" t="str">
        <f>IFERROR(INDEX('برنامه خرد'!$I$2:$I$82,MATCH(Q164,'برنامه خرد'!$A$2:$A$82,0)),"")</f>
      </c>
      <c r="AM164" s="1423" t="n">
        <f>IF(AL164="",AN164,IF(T164="غلط یا کمتر از ۵۰٪",AL164+1,IF(T164="ناقص یا همراه با حدس",AL164+2,IF(T164="درست ولی کند و مردد",AL164+4,IF(T164="درست، سریع و کامل",IF(W164&gt;=2,AL164+IF(R164&lt;14,14,28),AL164+MIN(28,MAX(3,R164*2))),AN164)))))</f>
        <v>46293</v>
      </c>
      <c r="AN164" s="1423" t="n">
        <v>46293</v>
      </c>
      <c r="AO164" s="1423" t="n">
        <v>46317</v>
      </c>
    </row>
    <row r="165" ht="38" customHeight="1">
      <c r="A165" s="280" t="str">
        <v>U164</v>
      </c>
      <c r="B165" s="281" t="str">
        <v>روان‌شناسی رشد کرین</v>
      </c>
      <c r="C165" s="281" t="str">
        <v>روان‌شناسی رشد کرین</v>
      </c>
      <c r="D165" s="281" t="str">
        <v>12</v>
      </c>
      <c r="E165" s="281" t="str">
        <v>اریکسون و هشت مرحله زندگی</v>
      </c>
      <c r="F165" s="281" t="str">
        <v>واحد مطالعه بر اساس بازهٔ صفحه</v>
      </c>
      <c r="G165" s="281" t="str">
        <v>۴۴۱ تا ۴۴۱</v>
      </c>
      <c r="H165" s="681" t="n">
        <v>1</v>
      </c>
      <c r="I165" s="281" t="str">
        <v>۱۴۰۵/۰۷/۰۵</v>
      </c>
      <c r="J165" s="684" t="n">
        <v>4.2</v>
      </c>
      <c r="K165" s="281" t="str">
        <v>۱۴۰۵/۰۷/۰۵</v>
      </c>
      <c r="L165" s="281" t="str">
        <v>۱۴۰۵/۰۷/۰۶</v>
      </c>
      <c r="M165" s="281" t="str">
        <v>۱۴۰۵/۰۷/۰۸</v>
      </c>
      <c r="N165" s="281" t="str">
        <v>۱۴۰۵/۰۷/۱۲</v>
      </c>
      <c r="O165" s="281" t="str">
        <v>۱۴۰۵/۰۷/۱۹</v>
      </c>
      <c r="P165" s="281" t="str">
        <v>تثبیت نهایی</v>
      </c>
      <c r="Q165" s="411"/>
      <c r="R165" s="687" t="n">
        <v>1</v>
      </c>
      <c r="S165" s="687"/>
      <c r="T165" s="412"/>
      <c r="U165" s="412"/>
      <c r="V165" s="412"/>
      <c r="W165" s="687" t="str">
        <v>0</v>
      </c>
      <c r="X165" s="412" t="str">
        <v>خیر</v>
      </c>
      <c r="Y165" s="413" t="str">
        <v>خیر</v>
      </c>
      <c r="Z165" s="430" t="str">
        <f>IF(AM165="","",IF(AM165&gt;AO165,"تثبیت نهایی",IFERROR(INDEX('برنامه خرد'!$A$2:$A$82,MATCH(AM165,'برنامه خرد'!$I$2:$I$82,0)),"تثبیت نهایی")))</f>
        <v>۱۴۰۵/۰۷/۰۶</v>
      </c>
      <c r="AA165" s="431" t="str">
        <v>۱۴۰۵/۰۷/۰۶</v>
      </c>
      <c r="AB165" s="690" t="n">
        <f>IF(AM165="","",AM165-AN165)</f>
        <v>0</v>
      </c>
      <c r="AC165" s="431" t="str">
        <f>IF(AM165="","فاقد داده",IF(AM165&gt;AO165,"انتقال به تثبیت نهایی",IF(AM165&lt;TODAY(),"عقب‌افتاده",IF(AM165=TODAY(),"سررسید امروز","آینده"))))</f>
        <v>آینده</v>
      </c>
      <c r="AD165" s="432" t="str">
        <f>IF(OR(AM165&gt;AO165,Z165="تثبیت نهایی"),"بله","خیر")</f>
        <v>خیر</v>
      </c>
      <c r="AE165" s="436" t="str">
        <v>این فرمول فقط تاریخ پیشنهادی را محاسبه می‌کند و ردیف‌های برنامهٔ روزانه را خودکار جابه‌جا نمی‌کند.</v>
      </c>
      <c r="AF165" s="1423" t="n">
        <v>46292</v>
      </c>
      <c r="AG165" s="1423" t="n">
        <v>46293</v>
      </c>
      <c r="AH165" s="1423" t="n">
        <v>46295</v>
      </c>
      <c r="AI165" s="1423" t="n">
        <v>46299</v>
      </c>
      <c r="AJ165" s="1423" t="n">
        <v>46306</v>
      </c>
      <c r="AK165" s="1423" t="n">
        <v>46320</v>
      </c>
      <c r="AL165" s="1423" t="str">
        <f>IFERROR(INDEX('برنامه خرد'!$I$2:$I$82,MATCH(Q165,'برنامه خرد'!$A$2:$A$82,0)),"")</f>
      </c>
      <c r="AM165" s="1423" t="n">
        <f>IF(AL165="",AN165,IF(T165="غلط یا کمتر از ۵۰٪",AL165+1,IF(T165="ناقص یا همراه با حدس",AL165+2,IF(T165="درست ولی کند و مردد",AL165+4,IF(T165="درست، سریع و کامل",IF(W165&gt;=2,AL165+IF(R165&lt;14,14,28),AL165+MIN(28,MAX(3,R165*2))),AN165)))))</f>
        <v>46293</v>
      </c>
      <c r="AN165" s="1423" t="n">
        <v>46293</v>
      </c>
      <c r="AO165" s="1423" t="n">
        <v>46317</v>
      </c>
    </row>
    <row r="166" ht="38" customHeight="1">
      <c r="A166" s="366" t="str">
        <v>U165</v>
      </c>
      <c r="B166" s="367" t="str">
        <v>روان‌شناسی رشد کرین</v>
      </c>
      <c r="C166" s="367" t="str">
        <v>روان‌شناسی رشد کرین</v>
      </c>
      <c r="D166" s="367" t="str">
        <v>12</v>
      </c>
      <c r="E166" s="367" t="str">
        <v>اریکسون و هشت مرحله زندگی</v>
      </c>
      <c r="F166" s="367" t="str">
        <v>واحد مطالعه بر اساس بازهٔ صفحه</v>
      </c>
      <c r="G166" s="367" t="str">
        <v>۴۴۲ تا ۴۴۷</v>
      </c>
      <c r="H166" s="680" t="n">
        <v>6</v>
      </c>
      <c r="I166" s="367" t="str">
        <v>۱۴۰۵/۰۷/۰۶</v>
      </c>
      <c r="J166" s="683" t="n">
        <v>25</v>
      </c>
      <c r="K166" s="367" t="str">
        <v>۱۴۰۵/۰۷/۰۶</v>
      </c>
      <c r="L166" s="367" t="str">
        <v>۱۴۰۵/۰۷/۰۷</v>
      </c>
      <c r="M166" s="367" t="str">
        <v>۱۴۰۵/۰۷/۰۹</v>
      </c>
      <c r="N166" s="367" t="str">
        <v>۱۴۰۵/۰۷/۱۳</v>
      </c>
      <c r="O166" s="367" t="str">
        <v>۱۴۰۵/۰۷/۲۰</v>
      </c>
      <c r="P166" s="367" t="str">
        <v>تثبیت نهایی</v>
      </c>
      <c r="Q166" s="411"/>
      <c r="R166" s="687" t="n">
        <v>1</v>
      </c>
      <c r="S166" s="687"/>
      <c r="T166" s="412"/>
      <c r="U166" s="412"/>
      <c r="V166" s="412"/>
      <c r="W166" s="687" t="str">
        <v>0</v>
      </c>
      <c r="X166" s="412" t="str">
        <v>خیر</v>
      </c>
      <c r="Y166" s="413" t="str">
        <v>خیر</v>
      </c>
      <c r="Z166" s="430" t="str">
        <f>IF(AM166="","",IF(AM166&gt;AO166,"تثبیت نهایی",IFERROR(INDEX('برنامه خرد'!$A$2:$A$82,MATCH(AM166,'برنامه خرد'!$I$2:$I$82,0)),"تثبیت نهایی")))</f>
        <v>۱۴۰۵/۰۷/۰۷</v>
      </c>
      <c r="AA166" s="431" t="str">
        <v>۱۴۰۵/۰۷/۰۷</v>
      </c>
      <c r="AB166" s="690" t="n">
        <f>IF(AM166="","",AM166-AN166)</f>
        <v>0</v>
      </c>
      <c r="AC166" s="431" t="str">
        <f>IF(AM166="","فاقد داده",IF(AM166&gt;AO166,"انتقال به تثبیت نهایی",IF(AM166&lt;TODAY(),"عقب‌افتاده",IF(AM166=TODAY(),"سررسید امروز","آینده"))))</f>
        <v>آینده</v>
      </c>
      <c r="AD166" s="432" t="str">
        <f>IF(OR(AM166&gt;AO166,Z166="تثبیت نهایی"),"بله","خیر")</f>
        <v>خیر</v>
      </c>
      <c r="AE166" s="436" t="str">
        <v>این فرمول فقط تاریخ پیشنهادی را محاسبه می‌کند و ردیف‌های برنامهٔ روزانه را خودکار جابه‌جا نمی‌کند.</v>
      </c>
      <c r="AF166" s="1423" t="n">
        <v>46293</v>
      </c>
      <c r="AG166" s="1423" t="n">
        <v>46294</v>
      </c>
      <c r="AH166" s="1423" t="n">
        <v>46296</v>
      </c>
      <c r="AI166" s="1423" t="n">
        <v>46300</v>
      </c>
      <c r="AJ166" s="1423" t="n">
        <v>46307</v>
      </c>
      <c r="AK166" s="1423" t="n">
        <v>46321</v>
      </c>
      <c r="AL166" s="1423" t="str">
        <f>IFERROR(INDEX('برنامه خرد'!$I$2:$I$82,MATCH(Q166,'برنامه خرد'!$A$2:$A$82,0)),"")</f>
      </c>
      <c r="AM166" s="1423" t="n">
        <f>IF(AL166="",AN166,IF(T166="غلط یا کمتر از ۵۰٪",AL166+1,IF(T166="ناقص یا همراه با حدس",AL166+2,IF(T166="درست ولی کند و مردد",AL166+4,IF(T166="درست، سریع و کامل",IF(W166&gt;=2,AL166+IF(R166&lt;14,14,28),AL166+MIN(28,MAX(3,R166*2))),AN166)))))</f>
        <v>46294</v>
      </c>
      <c r="AN166" s="1423" t="n">
        <v>46294</v>
      </c>
      <c r="AO166" s="1423" t="n">
        <v>46317</v>
      </c>
    </row>
    <row r="167" ht="38" customHeight="1">
      <c r="A167" s="280" t="str">
        <v>U166</v>
      </c>
      <c r="B167" s="281" t="str">
        <v>روان‌شناسی رشد کرین</v>
      </c>
      <c r="C167" s="281" t="str">
        <v>روان‌شناسی رشد کرین</v>
      </c>
      <c r="D167" s="281" t="str">
        <v>12</v>
      </c>
      <c r="E167" s="281" t="str">
        <v>اریکسون و هشت مرحله زندگی</v>
      </c>
      <c r="F167" s="281" t="str">
        <v>واحد مطالعه بر اساس بازهٔ صفحه</v>
      </c>
      <c r="G167" s="281" t="str">
        <v>۴۴۸ تا ۴۶۷</v>
      </c>
      <c r="H167" s="681" t="n">
        <v>20</v>
      </c>
      <c r="I167" s="281" t="str">
        <v>۱۴۰۵/۰۷/۰۷</v>
      </c>
      <c r="J167" s="684" t="n">
        <v>87</v>
      </c>
      <c r="K167" s="281" t="str">
        <v>۱۴۰۵/۰۷/۰۷</v>
      </c>
      <c r="L167" s="281" t="str">
        <v>۱۴۰۵/۰۷/۰۸</v>
      </c>
      <c r="M167" s="281" t="str">
        <v>۱۴۰۵/۰۷/۱۰</v>
      </c>
      <c r="N167" s="281" t="str">
        <v>۱۴۰۵/۰۷/۱۴</v>
      </c>
      <c r="O167" s="281" t="str">
        <v>۱۴۰۵/۰۷/۲۱</v>
      </c>
      <c r="P167" s="281" t="str">
        <v>تثبیت نهایی</v>
      </c>
      <c r="Q167" s="411"/>
      <c r="R167" s="687" t="n">
        <v>1</v>
      </c>
      <c r="S167" s="687"/>
      <c r="T167" s="412"/>
      <c r="U167" s="412"/>
      <c r="V167" s="412"/>
      <c r="W167" s="687" t="str">
        <v>0</v>
      </c>
      <c r="X167" s="412" t="str">
        <v>خیر</v>
      </c>
      <c r="Y167" s="413" t="str">
        <v>خیر</v>
      </c>
      <c r="Z167" s="430" t="str">
        <f>IF(AM167="","",IF(AM167&gt;AO167,"تثبیت نهایی",IFERROR(INDEX('برنامه خرد'!$A$2:$A$82,MATCH(AM167,'برنامه خرد'!$I$2:$I$82,0)),"تثبیت نهایی")))</f>
        <v>۱۴۰۵/۰۷/۰۹</v>
      </c>
      <c r="AA167" s="431" t="str">
        <v>۱۴۰۵/۰۷/۰۹</v>
      </c>
      <c r="AB167" s="690" t="n">
        <f>IF(AM167="","",AM167-AN167)</f>
        <v>0</v>
      </c>
      <c r="AC167" s="431" t="str">
        <f>IF(AM167="","فاقد داده",IF(AM167&gt;AO167,"انتقال به تثبیت نهایی",IF(AM167&lt;TODAY(),"عقب‌افتاده",IF(AM167=TODAY(),"سررسید امروز","آینده"))))</f>
        <v>آینده</v>
      </c>
      <c r="AD167" s="432" t="str">
        <f>IF(OR(AM167&gt;AO167,Z167="تثبیت نهایی"),"بله","خیر")</f>
        <v>خیر</v>
      </c>
      <c r="AE167" s="436" t="str">
        <v>این فرمول فقط تاریخ پیشنهادی را محاسبه می‌کند و ردیف‌های برنامهٔ روزانه را خودکار جابه‌جا نمی‌کند.</v>
      </c>
      <c r="AF167" s="1423" t="n">
        <v>46294</v>
      </c>
      <c r="AG167" s="1423" t="n">
        <v>46295</v>
      </c>
      <c r="AH167" s="1423" t="n">
        <v>46297</v>
      </c>
      <c r="AI167" s="1423" t="n">
        <v>46301</v>
      </c>
      <c r="AJ167" s="1423" t="n">
        <v>46308</v>
      </c>
      <c r="AK167" s="1423" t="n">
        <v>46322</v>
      </c>
      <c r="AL167" s="1423" t="str">
        <f>IFERROR(INDEX('برنامه خرد'!$I$2:$I$82,MATCH(Q167,'برنامه خرد'!$A$2:$A$82,0)),"")</f>
      </c>
      <c r="AM167" s="1423" t="n">
        <f>IF(AL167="",AN167,IF(T167="غلط یا کمتر از ۵۰٪",AL167+1,IF(T167="ناقص یا همراه با حدس",AL167+2,IF(T167="درست ولی کند و مردد",AL167+4,IF(T167="درست، سریع و کامل",IF(W167&gt;=2,AL167+IF(R167&lt;14,14,28),AL167+MIN(28,MAX(3,R167*2))),AN167)))))</f>
        <v>46296</v>
      </c>
      <c r="AN167" s="1423" t="n">
        <v>46296</v>
      </c>
      <c r="AO167" s="1423" t="n">
        <v>46317</v>
      </c>
    </row>
    <row r="168" ht="38" customHeight="1">
      <c r="A168" s="366" t="str">
        <v>U167</v>
      </c>
      <c r="B168" s="367" t="str">
        <v>روان‌شناسی رشد کرین</v>
      </c>
      <c r="C168" s="367" t="str">
        <v>روان‌شناسی رشد کرین</v>
      </c>
      <c r="D168" s="367" t="str">
        <v>12</v>
      </c>
      <c r="E168" s="367" t="str">
        <v>اریکسون و هشت مرحله زندگی</v>
      </c>
      <c r="F168" s="367" t="str">
        <v>واحد مطالعه بر اساس بازهٔ صفحه</v>
      </c>
      <c r="G168" s="367" t="str">
        <v>۴۶۸ تا ۴۸۰</v>
      </c>
      <c r="H168" s="680" t="n">
        <v>13</v>
      </c>
      <c r="I168" s="367" t="str">
        <v>۱۴۰۵/۰۷/۰۹</v>
      </c>
      <c r="J168" s="683" t="n">
        <v>56.5</v>
      </c>
      <c r="K168" s="367" t="str">
        <v>۱۴۰۵/۰۷/۰۹</v>
      </c>
      <c r="L168" s="367" t="str">
        <v>۱۴۰۵/۰۷/۱۰</v>
      </c>
      <c r="M168" s="367" t="str">
        <v>۱۴۰۵/۰۷/۱۲</v>
      </c>
      <c r="N168" s="367" t="str">
        <v>۱۴۰۵/۰۷/۱۶</v>
      </c>
      <c r="O168" s="367" t="str">
        <v>۱۴۰۵/۰۷/۲۳</v>
      </c>
      <c r="P168" s="367" t="str">
        <v>تثبیت نهایی</v>
      </c>
      <c r="Q168" s="411"/>
      <c r="R168" s="687" t="n">
        <v>1</v>
      </c>
      <c r="S168" s="687"/>
      <c r="T168" s="412"/>
      <c r="U168" s="412"/>
      <c r="V168" s="412"/>
      <c r="W168" s="687" t="str">
        <v>0</v>
      </c>
      <c r="X168" s="412" t="str">
        <v>خیر</v>
      </c>
      <c r="Y168" s="413" t="str">
        <v>خیر</v>
      </c>
      <c r="Z168" s="430" t="str">
        <f>IF(AM168="","",IF(AM168&gt;AO168,"تثبیت نهایی",IFERROR(INDEX('برنامه خرد'!$A$2:$A$82,MATCH(AM168,'برنامه خرد'!$I$2:$I$82,0)),"تثبیت نهایی")))</f>
        <v>۱۴۰۵/۰۷/۱۱</v>
      </c>
      <c r="AA168" s="431" t="str">
        <v>۱۴۰۵/۰۷/۱۱</v>
      </c>
      <c r="AB168" s="690" t="n">
        <f>IF(AM168="","",AM168-AN168)</f>
        <v>0</v>
      </c>
      <c r="AC168" s="431" t="str">
        <f>IF(AM168="","فاقد داده",IF(AM168&gt;AO168,"انتقال به تثبیت نهایی",IF(AM168&lt;TODAY(),"عقب‌افتاده",IF(AM168=TODAY(),"سررسید امروز","آینده"))))</f>
        <v>آینده</v>
      </c>
      <c r="AD168" s="432" t="str">
        <f>IF(OR(AM168&gt;AO168,Z168="تثبیت نهایی"),"بله","خیر")</f>
        <v>خیر</v>
      </c>
      <c r="AE168" s="436" t="str">
        <v>این فرمول فقط تاریخ پیشنهادی را محاسبه می‌کند و ردیف‌های برنامهٔ روزانه را خودکار جابه‌جا نمی‌کند.</v>
      </c>
      <c r="AF168" s="1423" t="n">
        <v>46296</v>
      </c>
      <c r="AG168" s="1423" t="n">
        <v>46297</v>
      </c>
      <c r="AH168" s="1423" t="n">
        <v>46299</v>
      </c>
      <c r="AI168" s="1423" t="n">
        <v>46303</v>
      </c>
      <c r="AJ168" s="1423" t="n">
        <v>46310</v>
      </c>
      <c r="AK168" s="1423" t="n">
        <v>46324</v>
      </c>
      <c r="AL168" s="1423" t="str">
        <f>IFERROR(INDEX('برنامه خرد'!$I$2:$I$82,MATCH(Q168,'برنامه خرد'!$A$2:$A$82,0)),"")</f>
      </c>
      <c r="AM168" s="1423" t="n">
        <f>IF(AL168="",AN168,IF(T168="غلط یا کمتر از ۵۰٪",AL168+1,IF(T168="ناقص یا همراه با حدس",AL168+2,IF(T168="درست ولی کند و مردد",AL168+4,IF(T168="درست، سریع و کامل",IF(W168&gt;=2,AL168+IF(R168&lt;14,14,28),AL168+MIN(28,MAX(3,R168*2))),AN168)))))</f>
        <v>46298</v>
      </c>
      <c r="AN168" s="1423" t="n">
        <v>46298</v>
      </c>
      <c r="AO168" s="1423" t="n">
        <v>46317</v>
      </c>
    </row>
    <row r="169" ht="38" customHeight="1">
      <c r="A169" s="280" t="str">
        <v>U168</v>
      </c>
      <c r="B169" s="281" t="str">
        <v>روان‌شناسی رشد کرین</v>
      </c>
      <c r="C169" s="281" t="str">
        <v>روان‌شناسی رشد کرین</v>
      </c>
      <c r="D169" s="281" t="str">
        <v>13</v>
      </c>
      <c r="E169" s="281" t="str">
        <v>نظریه تفرد/جدایی ماهلر</v>
      </c>
      <c r="F169" s="281" t="str">
        <v>واحد مطالعه بر اساس بازهٔ صفحه</v>
      </c>
      <c r="G169" s="281" t="str">
        <v>۴۸۱ تا ۴۸۷</v>
      </c>
      <c r="H169" s="681" t="n">
        <v>7</v>
      </c>
      <c r="I169" s="281" t="str">
        <v>۱۴۰۵/۰۷/۰۹</v>
      </c>
      <c r="J169" s="684" t="n">
        <v>30.4</v>
      </c>
      <c r="K169" s="281" t="str">
        <v>۱۴۰۵/۰۷/۰۹</v>
      </c>
      <c r="L169" s="281" t="str">
        <v>۱۴۰۵/۰۷/۱۰</v>
      </c>
      <c r="M169" s="281" t="str">
        <v>۱۴۰۵/۰۷/۱۲</v>
      </c>
      <c r="N169" s="281" t="str">
        <v>۱۴۰۵/۰۷/۱۶</v>
      </c>
      <c r="O169" s="281" t="str">
        <v>۱۴۰۵/۰۷/۲۳</v>
      </c>
      <c r="P169" s="281" t="str">
        <v>تثبیت نهایی</v>
      </c>
      <c r="Q169" s="411"/>
      <c r="R169" s="687" t="n">
        <v>1</v>
      </c>
      <c r="S169" s="687"/>
      <c r="T169" s="412"/>
      <c r="U169" s="412"/>
      <c r="V169" s="412"/>
      <c r="W169" s="687" t="str">
        <v>0</v>
      </c>
      <c r="X169" s="412" t="str">
        <v>خیر</v>
      </c>
      <c r="Y169" s="413" t="str">
        <v>خیر</v>
      </c>
      <c r="Z169" s="430" t="str">
        <f>IF(AM169="","",IF(AM169&gt;AO169,"تثبیت نهایی",IFERROR(INDEX('برنامه خرد'!$A$2:$A$82,MATCH(AM169,'برنامه خرد'!$I$2:$I$82,0)),"تثبیت نهایی")))</f>
        <v>۱۴۰۵/۰۷/۱۱</v>
      </c>
      <c r="AA169" s="431" t="str">
        <v>۱۴۰۵/۰۷/۱۱</v>
      </c>
      <c r="AB169" s="690" t="n">
        <f>IF(AM169="","",AM169-AN169)</f>
        <v>0</v>
      </c>
      <c r="AC169" s="431" t="str">
        <f>IF(AM169="","فاقد داده",IF(AM169&gt;AO169,"انتقال به تثبیت نهایی",IF(AM169&lt;TODAY(),"عقب‌افتاده",IF(AM169=TODAY(),"سررسید امروز","آینده"))))</f>
        <v>آینده</v>
      </c>
      <c r="AD169" s="432" t="str">
        <f>IF(OR(AM169&gt;AO169,Z169="تثبیت نهایی"),"بله","خیر")</f>
        <v>خیر</v>
      </c>
      <c r="AE169" s="436" t="str">
        <v>این فرمول فقط تاریخ پیشنهادی را محاسبه می‌کند و ردیف‌های برنامهٔ روزانه را خودکار جابه‌جا نمی‌کند.</v>
      </c>
      <c r="AF169" s="1423" t="n">
        <v>46296</v>
      </c>
      <c r="AG169" s="1423" t="n">
        <v>46297</v>
      </c>
      <c r="AH169" s="1423" t="n">
        <v>46299</v>
      </c>
      <c r="AI169" s="1423" t="n">
        <v>46303</v>
      </c>
      <c r="AJ169" s="1423" t="n">
        <v>46310</v>
      </c>
      <c r="AK169" s="1423" t="n">
        <v>46324</v>
      </c>
      <c r="AL169" s="1423" t="str">
        <f>IFERROR(INDEX('برنامه خرد'!$I$2:$I$82,MATCH(Q169,'برنامه خرد'!$A$2:$A$82,0)),"")</f>
      </c>
      <c r="AM169" s="1423" t="n">
        <f>IF(AL169="",AN169,IF(T169="غلط یا کمتر از ۵۰٪",AL169+1,IF(T169="ناقص یا همراه با حدس",AL169+2,IF(T169="درست ولی کند و مردد",AL169+4,IF(T169="درست، سریع و کامل",IF(W169&gt;=2,AL169+IF(R169&lt;14,14,28),AL169+MIN(28,MAX(3,R169*2))),AN169)))))</f>
        <v>46298</v>
      </c>
      <c r="AN169" s="1423" t="n">
        <v>46298</v>
      </c>
      <c r="AO169" s="1423" t="n">
        <v>46317</v>
      </c>
    </row>
    <row r="170" ht="38" customHeight="1">
      <c r="A170" s="366" t="str">
        <v>U169</v>
      </c>
      <c r="B170" s="367" t="str">
        <v>روان‌شناسی رشد کرین</v>
      </c>
      <c r="C170" s="367" t="str">
        <v>روان‌شناسی رشد کرین</v>
      </c>
      <c r="D170" s="367" t="str">
        <v>13</v>
      </c>
      <c r="E170" s="367" t="str">
        <v>نظریه تفرد/جدایی ماهلر</v>
      </c>
      <c r="F170" s="367" t="str">
        <v>واحد مطالعه بر اساس بازهٔ صفحه</v>
      </c>
      <c r="G170" s="367" t="str">
        <v>۴۸۸ تا ۴۹۳</v>
      </c>
      <c r="H170" s="680" t="n">
        <v>6</v>
      </c>
      <c r="I170" s="367" t="str">
        <v>۱۴۰۵/۰۷/۱۱</v>
      </c>
      <c r="J170" s="683" t="n">
        <v>25</v>
      </c>
      <c r="K170" s="367" t="str">
        <v>۱۴۰۵/۰۷/۱۱</v>
      </c>
      <c r="L170" s="367" t="str">
        <v>۱۴۰۵/۰۷/۱۲</v>
      </c>
      <c r="M170" s="367" t="str">
        <v>۱۴۰۵/۰۷/۱۴</v>
      </c>
      <c r="N170" s="367" t="str">
        <v>۱۴۰۵/۰۷/۱۸</v>
      </c>
      <c r="O170" s="367" t="str">
        <v>۱۴۰۵/۰۷/۲۵</v>
      </c>
      <c r="P170" s="367" t="str">
        <v>تثبیت نهایی</v>
      </c>
      <c r="Q170" s="411"/>
      <c r="R170" s="687" t="n">
        <v>1</v>
      </c>
      <c r="S170" s="687"/>
      <c r="T170" s="412"/>
      <c r="U170" s="412"/>
      <c r="V170" s="412"/>
      <c r="W170" s="687" t="str">
        <v>0</v>
      </c>
      <c r="X170" s="412" t="str">
        <v>خیر</v>
      </c>
      <c r="Y170" s="413" t="str">
        <v>خیر</v>
      </c>
      <c r="Z170" s="430" t="str">
        <f>IF(AM170="","",IF(AM170&gt;AO170,"تثبیت نهایی",IFERROR(INDEX('برنامه خرد'!$A$2:$A$82,MATCH(AM170,'برنامه خرد'!$I$2:$I$82,0)),"تثبیت نهایی")))</f>
        <v>۱۴۰۵/۰۷/۱۲</v>
      </c>
      <c r="AA170" s="431" t="str">
        <v>۱۴۰۵/۰۷/۱۲</v>
      </c>
      <c r="AB170" s="690" t="n">
        <f>IF(AM170="","",AM170-AN170)</f>
        <v>0</v>
      </c>
      <c r="AC170" s="431" t="str">
        <f>IF(AM170="","فاقد داده",IF(AM170&gt;AO170,"انتقال به تثبیت نهایی",IF(AM170&lt;TODAY(),"عقب‌افتاده",IF(AM170=TODAY(),"سررسید امروز","آینده"))))</f>
        <v>آینده</v>
      </c>
      <c r="AD170" s="432" t="str">
        <f>IF(OR(AM170&gt;AO170,Z170="تثبیت نهایی"),"بله","خیر")</f>
        <v>خیر</v>
      </c>
      <c r="AE170" s="436" t="str">
        <v>این فرمول فقط تاریخ پیشنهادی را محاسبه می‌کند و ردیف‌های برنامهٔ روزانه را خودکار جابه‌جا نمی‌کند.</v>
      </c>
      <c r="AF170" s="1423" t="n">
        <v>46298</v>
      </c>
      <c r="AG170" s="1423" t="n">
        <v>46299</v>
      </c>
      <c r="AH170" s="1423" t="n">
        <v>46301</v>
      </c>
      <c r="AI170" s="1423" t="n">
        <v>46305</v>
      </c>
      <c r="AJ170" s="1423" t="n">
        <v>46312</v>
      </c>
      <c r="AK170" s="1423" t="n">
        <v>46326</v>
      </c>
      <c r="AL170" s="1423" t="str">
        <f>IFERROR(INDEX('برنامه خرد'!$I$2:$I$82,MATCH(Q170,'برنامه خرد'!$A$2:$A$82,0)),"")</f>
      </c>
      <c r="AM170" s="1423" t="n">
        <f>IF(AL170="",AN170,IF(T170="غلط یا کمتر از ۵۰٪",AL170+1,IF(T170="ناقص یا همراه با حدس",AL170+2,IF(T170="درست ولی کند و مردد",AL170+4,IF(T170="درست، سریع و کامل",IF(W170&gt;=2,AL170+IF(R170&lt;14,14,28),AL170+MIN(28,MAX(3,R170*2))),AN170)))))</f>
        <v>46299</v>
      </c>
      <c r="AN170" s="1423" t="n">
        <v>46299</v>
      </c>
      <c r="AO170" s="1423" t="n">
        <v>46317</v>
      </c>
    </row>
    <row r="171" ht="38" customHeight="1">
      <c r="A171" s="280" t="str">
        <v>U170</v>
      </c>
      <c r="B171" s="281" t="str">
        <v>روان‌شناسی رشد کرین</v>
      </c>
      <c r="C171" s="281" t="str">
        <v>روان‌شناسی رشد کرین</v>
      </c>
      <c r="D171" s="281" t="str">
        <v>13</v>
      </c>
      <c r="E171" s="281" t="str">
        <v>نظریه تفرد/جدایی ماهلر</v>
      </c>
      <c r="F171" s="281" t="str">
        <v>واحد مطالعه بر اساس بازهٔ صفحه</v>
      </c>
      <c r="G171" s="281" t="str">
        <v>۴۹۴ تا ۴۹۹</v>
      </c>
      <c r="H171" s="681" t="n">
        <v>6</v>
      </c>
      <c r="I171" s="281" t="str">
        <v>۱۴۰۵/۰۷/۱۲</v>
      </c>
      <c r="J171" s="684" t="n">
        <v>25</v>
      </c>
      <c r="K171" s="281" t="str">
        <v>۱۴۰۵/۰۷/۱۲</v>
      </c>
      <c r="L171" s="281" t="str">
        <v>۱۴۰۵/۰۷/۱۳</v>
      </c>
      <c r="M171" s="281" t="str">
        <v>۱۴۰۵/۰۷/۱۵</v>
      </c>
      <c r="N171" s="281" t="str">
        <v>۱۴۰۵/۰۷/۱۹</v>
      </c>
      <c r="O171" s="281" t="str">
        <v>۱۴۰۵/۰۷/۲۶</v>
      </c>
      <c r="P171" s="281" t="str">
        <v>تثبیت نهایی</v>
      </c>
      <c r="Q171" s="411"/>
      <c r="R171" s="687" t="n">
        <v>1</v>
      </c>
      <c r="S171" s="687"/>
      <c r="T171" s="412"/>
      <c r="U171" s="412"/>
      <c r="V171" s="412"/>
      <c r="W171" s="687" t="str">
        <v>0</v>
      </c>
      <c r="X171" s="412" t="str">
        <v>خیر</v>
      </c>
      <c r="Y171" s="413" t="str">
        <v>خیر</v>
      </c>
      <c r="Z171" s="430" t="str">
        <f>IF(AM171="","",IF(AM171&gt;AO171,"تثبیت نهایی",IFERROR(INDEX('برنامه خرد'!$A$2:$A$82,MATCH(AM171,'برنامه خرد'!$I$2:$I$82,0)),"تثبیت نهایی")))</f>
        <v>۱۴۰۵/۰۷/۱۳</v>
      </c>
      <c r="AA171" s="431" t="str">
        <v>۱۴۰۵/۰۷/۱۳</v>
      </c>
      <c r="AB171" s="690" t="n">
        <f>IF(AM171="","",AM171-AN171)</f>
        <v>0</v>
      </c>
      <c r="AC171" s="431" t="str">
        <f>IF(AM171="","فاقد داده",IF(AM171&gt;AO171,"انتقال به تثبیت نهایی",IF(AM171&lt;TODAY(),"عقب‌افتاده",IF(AM171=TODAY(),"سررسید امروز","آینده"))))</f>
        <v>آینده</v>
      </c>
      <c r="AD171" s="432" t="str">
        <f>IF(OR(AM171&gt;AO171,Z171="تثبیت نهایی"),"بله","خیر")</f>
        <v>خیر</v>
      </c>
      <c r="AE171" s="436" t="str">
        <v>این فرمول فقط تاریخ پیشنهادی را محاسبه می‌کند و ردیف‌های برنامهٔ روزانه را خودکار جابه‌جا نمی‌کند.</v>
      </c>
      <c r="AF171" s="1423" t="n">
        <v>46299</v>
      </c>
      <c r="AG171" s="1423" t="n">
        <v>46300</v>
      </c>
      <c r="AH171" s="1423" t="n">
        <v>46302</v>
      </c>
      <c r="AI171" s="1423" t="n">
        <v>46306</v>
      </c>
      <c r="AJ171" s="1423" t="n">
        <v>46313</v>
      </c>
      <c r="AK171" s="1423" t="n">
        <v>46327</v>
      </c>
      <c r="AL171" s="1423" t="str">
        <f>IFERROR(INDEX('برنامه خرد'!$I$2:$I$82,MATCH(Q171,'برنامه خرد'!$A$2:$A$82,0)),"")</f>
      </c>
      <c r="AM171" s="1423" t="n">
        <f>IF(AL171="",AN171,IF(T171="غلط یا کمتر از ۵۰٪",AL171+1,IF(T171="ناقص یا همراه با حدس",AL171+2,IF(T171="درست ولی کند و مردد",AL171+4,IF(T171="درست، سریع و کامل",IF(W171&gt;=2,AL171+IF(R171&lt;14,14,28),AL171+MIN(28,MAX(3,R171*2))),AN171)))))</f>
        <v>46300</v>
      </c>
      <c r="AN171" s="1423" t="n">
        <v>46300</v>
      </c>
      <c r="AO171" s="1423" t="n">
        <v>46317</v>
      </c>
    </row>
    <row r="172" ht="38" customHeight="1">
      <c r="A172" s="366" t="str">
        <v>U171</v>
      </c>
      <c r="B172" s="367" t="str">
        <v>روان‌شناسی رشد کرین</v>
      </c>
      <c r="C172" s="367" t="str">
        <v>روان‌شناسی رشد کرین</v>
      </c>
      <c r="D172" s="367" t="str">
        <v>13</v>
      </c>
      <c r="E172" s="367" t="str">
        <v>نظریه تفرد/جدایی ماهلر</v>
      </c>
      <c r="F172" s="367" t="str">
        <v>واحد مطالعه بر اساس بازهٔ صفحه</v>
      </c>
      <c r="G172" s="367" t="str">
        <v>۵۰۰ تا ۵۰۲</v>
      </c>
      <c r="H172" s="680" t="n">
        <v>3</v>
      </c>
      <c r="I172" s="367" t="str">
        <v>۱۴۰۵/۰۷/۱۳</v>
      </c>
      <c r="J172" s="683" t="n">
        <v>12.5</v>
      </c>
      <c r="K172" s="367" t="str">
        <v>۱۴۰۵/۰۷/۱۳</v>
      </c>
      <c r="L172" s="367" t="str">
        <v>۱۴۰۵/۰۷/۱۴</v>
      </c>
      <c r="M172" s="367" t="str">
        <v>۱۴۰۵/۰۷/۱۶</v>
      </c>
      <c r="N172" s="367" t="str">
        <v>۱۴۰۵/۰۷/۲۰</v>
      </c>
      <c r="O172" s="367" t="str">
        <v>۱۴۰۵/۰۷/۲۷</v>
      </c>
      <c r="P172" s="367" t="str">
        <v>تثبیت نهایی</v>
      </c>
      <c r="Q172" s="411"/>
      <c r="R172" s="687" t="n">
        <v>1</v>
      </c>
      <c r="S172" s="687"/>
      <c r="T172" s="412"/>
      <c r="U172" s="412"/>
      <c r="V172" s="412"/>
      <c r="W172" s="687" t="str">
        <v>0</v>
      </c>
      <c r="X172" s="412" t="str">
        <v>خیر</v>
      </c>
      <c r="Y172" s="413" t="str">
        <v>خیر</v>
      </c>
      <c r="Z172" s="430" t="str">
        <f>IF(AM172="","",IF(AM172&gt;AO172,"تثبیت نهایی",IFERROR(INDEX('برنامه خرد'!$A$2:$A$82,MATCH(AM172,'برنامه خرد'!$I$2:$I$82,0)),"تثبیت نهایی")))</f>
        <v>۱۴۰۵/۰۷/۱۴</v>
      </c>
      <c r="AA172" s="431" t="str">
        <v>۱۴۰۵/۰۷/۱۴</v>
      </c>
      <c r="AB172" s="690" t="n">
        <f>IF(AM172="","",AM172-AN172)</f>
        <v>0</v>
      </c>
      <c r="AC172" s="431" t="str">
        <f>IF(AM172="","فاقد داده",IF(AM172&gt;AO172,"انتقال به تثبیت نهایی",IF(AM172&lt;TODAY(),"عقب‌افتاده",IF(AM172=TODAY(),"سررسید امروز","آینده"))))</f>
        <v>آینده</v>
      </c>
      <c r="AD172" s="432" t="str">
        <f>IF(OR(AM172&gt;AO172,Z172="تثبیت نهایی"),"بله","خیر")</f>
        <v>خیر</v>
      </c>
      <c r="AE172" s="436" t="str">
        <v>این فرمول فقط تاریخ پیشنهادی را محاسبه می‌کند و ردیف‌های برنامهٔ روزانه را خودکار جابه‌جا نمی‌کند.</v>
      </c>
      <c r="AF172" s="1423" t="n">
        <v>46300</v>
      </c>
      <c r="AG172" s="1423" t="n">
        <v>46301</v>
      </c>
      <c r="AH172" s="1423" t="n">
        <v>46303</v>
      </c>
      <c r="AI172" s="1423" t="n">
        <v>46307</v>
      </c>
      <c r="AJ172" s="1423" t="n">
        <v>46314</v>
      </c>
      <c r="AK172" s="1423" t="n">
        <v>46328</v>
      </c>
      <c r="AL172" s="1423" t="str">
        <f>IFERROR(INDEX('برنامه خرد'!$I$2:$I$82,MATCH(Q172,'برنامه خرد'!$A$2:$A$82,0)),"")</f>
      </c>
      <c r="AM172" s="1423" t="n">
        <f>IF(AL172="",AN172,IF(T172="غلط یا کمتر از ۵۰٪",AL172+1,IF(T172="ناقص یا همراه با حدس",AL172+2,IF(T172="درست ولی کند و مردد",AL172+4,IF(T172="درست، سریع و کامل",IF(W172&gt;=2,AL172+IF(R172&lt;14,14,28),AL172+MIN(28,MAX(3,R172*2))),AN172)))))</f>
        <v>46301</v>
      </c>
      <c r="AN172" s="1423" t="n">
        <v>46301</v>
      </c>
      <c r="AO172" s="1423" t="n">
        <v>46317</v>
      </c>
    </row>
    <row r="173" ht="38" customHeight="1">
      <c r="A173" s="280" t="str">
        <v>U172</v>
      </c>
      <c r="B173" s="281" t="str">
        <v>روان‌شناسی رشد کرین</v>
      </c>
      <c r="C173" s="281" t="str">
        <v>روان‌شناسی رشد کرین</v>
      </c>
      <c r="D173" s="281" t="str">
        <v>14</v>
      </c>
      <c r="E173" s="281" t="str">
        <v>مطالعه‌ای موردی در درمان روان‌تحلیلی: مطالعه بتلهایم درباره درخودماندگی (اوتیسم)</v>
      </c>
      <c r="F173" s="281" t="str">
        <v>واحد مطالعه بر اساس بازهٔ صفحه</v>
      </c>
      <c r="G173" s="281" t="str">
        <v>۵۰۳ تا ۵۰۵</v>
      </c>
      <c r="H173" s="681" t="n">
        <v>3</v>
      </c>
      <c r="I173" s="281" t="str">
        <v>۱۴۰۵/۰۷/۱۳</v>
      </c>
      <c r="J173" s="684" t="n">
        <v>12.5</v>
      </c>
      <c r="K173" s="281" t="str">
        <v>۱۴۰۵/۰۷/۱۳</v>
      </c>
      <c r="L173" s="281" t="str">
        <v>۱۴۰۵/۰۷/۱۴</v>
      </c>
      <c r="M173" s="281" t="str">
        <v>۱۴۰۵/۰۷/۱۶</v>
      </c>
      <c r="N173" s="281" t="str">
        <v>۱۴۰۵/۰۷/۲۰</v>
      </c>
      <c r="O173" s="281" t="str">
        <v>۱۴۰۵/۰۷/۲۷</v>
      </c>
      <c r="P173" s="281" t="str">
        <v>تثبیت نهایی</v>
      </c>
      <c r="Q173" s="411"/>
      <c r="R173" s="687" t="n">
        <v>1</v>
      </c>
      <c r="S173" s="687"/>
      <c r="T173" s="412"/>
      <c r="U173" s="412"/>
      <c r="V173" s="412"/>
      <c r="W173" s="687" t="str">
        <v>0</v>
      </c>
      <c r="X173" s="412" t="str">
        <v>خیر</v>
      </c>
      <c r="Y173" s="413" t="str">
        <v>خیر</v>
      </c>
      <c r="Z173" s="430" t="str">
        <f>IF(AM173="","",IF(AM173&gt;AO173,"تثبیت نهایی",IFERROR(INDEX('برنامه خرد'!$A$2:$A$82,MATCH(AM173,'برنامه خرد'!$I$2:$I$82,0)),"تثبیت نهایی")))</f>
        <v>۱۴۰۵/۰۷/۱۴</v>
      </c>
      <c r="AA173" s="431" t="str">
        <v>۱۴۰۵/۰۷/۱۴</v>
      </c>
      <c r="AB173" s="690" t="n">
        <f>IF(AM173="","",AM173-AN173)</f>
        <v>0</v>
      </c>
      <c r="AC173" s="431" t="str">
        <f>IF(AM173="","فاقد داده",IF(AM173&gt;AO173,"انتقال به تثبیت نهایی",IF(AM173&lt;TODAY(),"عقب‌افتاده",IF(AM173=TODAY(),"سررسید امروز","آینده"))))</f>
        <v>آینده</v>
      </c>
      <c r="AD173" s="432" t="str">
        <f>IF(OR(AM173&gt;AO173,Z173="تثبیت نهایی"),"بله","خیر")</f>
        <v>خیر</v>
      </c>
      <c r="AE173" s="436" t="str">
        <v>این فرمول فقط تاریخ پیشنهادی را محاسبه می‌کند و ردیف‌های برنامهٔ روزانه را خودکار جابه‌جا نمی‌کند.</v>
      </c>
      <c r="AF173" s="1423" t="n">
        <v>46300</v>
      </c>
      <c r="AG173" s="1423" t="n">
        <v>46301</v>
      </c>
      <c r="AH173" s="1423" t="n">
        <v>46303</v>
      </c>
      <c r="AI173" s="1423" t="n">
        <v>46307</v>
      </c>
      <c r="AJ173" s="1423" t="n">
        <v>46314</v>
      </c>
      <c r="AK173" s="1423" t="n">
        <v>46328</v>
      </c>
      <c r="AL173" s="1423" t="str">
        <f>IFERROR(INDEX('برنامه خرد'!$I$2:$I$82,MATCH(Q173,'برنامه خرد'!$A$2:$A$82,0)),"")</f>
      </c>
      <c r="AM173" s="1423" t="n">
        <f>IF(AL173="",AN173,IF(T173="غلط یا کمتر از ۵۰٪",AL173+1,IF(T173="ناقص یا همراه با حدس",AL173+2,IF(T173="درست ولی کند و مردد",AL173+4,IF(T173="درست، سریع و کامل",IF(W173&gt;=2,AL173+IF(R173&lt;14,14,28),AL173+MIN(28,MAX(3,R173*2))),AN173)))))</f>
        <v>46301</v>
      </c>
      <c r="AN173" s="1423" t="n">
        <v>46301</v>
      </c>
      <c r="AO173" s="1423" t="n">
        <v>46317</v>
      </c>
    </row>
    <row r="174" ht="38" customHeight="1">
      <c r="A174" s="366" t="str">
        <v>U173</v>
      </c>
      <c r="B174" s="367" t="str">
        <v>روان‌شناسی رشد کرین</v>
      </c>
      <c r="C174" s="367" t="str">
        <v>روان‌شناسی رشد کرین</v>
      </c>
      <c r="D174" s="367" t="str">
        <v>14</v>
      </c>
      <c r="E174" s="367" t="str">
        <v>مطالعه‌ای موردی در درمان روان‌تحلیلی: مطالعه بتلهایم درباره درخودماندگی (اوتیسم)</v>
      </c>
      <c r="F174" s="367" t="str">
        <v>واحد مطالعه بر اساس بازهٔ صفحه</v>
      </c>
      <c r="G174" s="367" t="str">
        <v>۵۰۶ تا ۵۱۶</v>
      </c>
      <c r="H174" s="680" t="n">
        <v>11</v>
      </c>
      <c r="I174" s="367" t="str">
        <v>۱۴۰۵/۰۷/۱۴</v>
      </c>
      <c r="J174" s="683" t="n">
        <v>47.9</v>
      </c>
      <c r="K174" s="367" t="str">
        <v>۱۴۰۵/۰۷/۱۴</v>
      </c>
      <c r="L174" s="367" t="str">
        <v>۱۴۰۵/۰۷/۱۵</v>
      </c>
      <c r="M174" s="367" t="str">
        <v>۱۴۰۵/۰۷/۱۷</v>
      </c>
      <c r="N174" s="367" t="str">
        <v>۱۴۰۵/۰۷/۲۱</v>
      </c>
      <c r="O174" s="367" t="str">
        <v>۱۴۰۵/۰۷/۲۸</v>
      </c>
      <c r="P174" s="367" t="str">
        <v>تثبیت نهایی</v>
      </c>
      <c r="Q174" s="411"/>
      <c r="R174" s="687" t="n">
        <v>1</v>
      </c>
      <c r="S174" s="687"/>
      <c r="T174" s="412"/>
      <c r="U174" s="412"/>
      <c r="V174" s="412"/>
      <c r="W174" s="687" t="str">
        <v>0</v>
      </c>
      <c r="X174" s="412" t="str">
        <v>خیر</v>
      </c>
      <c r="Y174" s="413" t="str">
        <v>خیر</v>
      </c>
      <c r="Z174" s="430" t="str">
        <f>IF(AM174="","",IF(AM174&gt;AO174,"تثبیت نهایی",IFERROR(INDEX('برنامه خرد'!$A$2:$A$82,MATCH(AM174,'برنامه خرد'!$I$2:$I$82,0)),"تثبیت نهایی")))</f>
        <v>۱۴۰۵/۰۷/۱۶</v>
      </c>
      <c r="AA174" s="431" t="str">
        <v>۱۴۰۵/۰۷/۱۶</v>
      </c>
      <c r="AB174" s="690" t="n">
        <f>IF(AM174="","",AM174-AN174)</f>
        <v>0</v>
      </c>
      <c r="AC174" s="431" t="str">
        <f>IF(AM174="","فاقد داده",IF(AM174&gt;AO174,"انتقال به تثبیت نهایی",IF(AM174&lt;TODAY(),"عقب‌افتاده",IF(AM174=TODAY(),"سررسید امروز","آینده"))))</f>
        <v>آینده</v>
      </c>
      <c r="AD174" s="432" t="str">
        <f>IF(OR(AM174&gt;AO174,Z174="تثبیت نهایی"),"بله","خیر")</f>
        <v>خیر</v>
      </c>
      <c r="AE174" s="436" t="str">
        <v>این فرمول فقط تاریخ پیشنهادی را محاسبه می‌کند و ردیف‌های برنامهٔ روزانه را خودکار جابه‌جا نمی‌کند.</v>
      </c>
      <c r="AF174" s="1423" t="n">
        <v>46301</v>
      </c>
      <c r="AG174" s="1423" t="n">
        <v>46302</v>
      </c>
      <c r="AH174" s="1423" t="n">
        <v>46304</v>
      </c>
      <c r="AI174" s="1423" t="n">
        <v>46308</v>
      </c>
      <c r="AJ174" s="1423" t="n">
        <v>46315</v>
      </c>
      <c r="AK174" s="1423" t="n">
        <v>46329</v>
      </c>
      <c r="AL174" s="1423" t="str">
        <f>IFERROR(INDEX('برنامه خرد'!$I$2:$I$82,MATCH(Q174,'برنامه خرد'!$A$2:$A$82,0)),"")</f>
      </c>
      <c r="AM174" s="1423" t="n">
        <f>IF(AL174="",AN174,IF(T174="غلط یا کمتر از ۵۰٪",AL174+1,IF(T174="ناقص یا همراه با حدس",AL174+2,IF(T174="درست ولی کند و مردد",AL174+4,IF(T174="درست، سریع و کامل",IF(W174&gt;=2,AL174+IF(R174&lt;14,14,28),AL174+MIN(28,MAX(3,R174*2))),AN174)))))</f>
        <v>46303</v>
      </c>
      <c r="AN174" s="1423" t="n">
        <v>46303</v>
      </c>
      <c r="AO174" s="1423" t="n">
        <v>46317</v>
      </c>
    </row>
    <row r="175" ht="38" customHeight="1">
      <c r="A175" s="280" t="str">
        <v>U174</v>
      </c>
      <c r="B175" s="281" t="str">
        <v>روان‌شناسی رشد کرین</v>
      </c>
      <c r="C175" s="281" t="str">
        <v>روان‌شناسی رشد کرین</v>
      </c>
      <c r="D175" s="281" t="str">
        <v>15</v>
      </c>
      <c r="E175" s="281" t="str">
        <v>ساختار و تجربه‌های دوران کودکی</v>
      </c>
      <c r="F175" s="281" t="str">
        <v>واحد مطالعه بر اساس بازهٔ صفحه</v>
      </c>
      <c r="G175" s="281" t="str">
        <v>۵۱۷ تا ۵۲۵</v>
      </c>
      <c r="H175" s="681" t="n">
        <v>9</v>
      </c>
      <c r="I175" s="281" t="str">
        <v>۱۴۰۵/۰۷/۱۴</v>
      </c>
      <c r="J175" s="684" t="n">
        <v>39.1</v>
      </c>
      <c r="K175" s="281" t="str">
        <v>۱۴۰۵/۰۷/۱۴</v>
      </c>
      <c r="L175" s="281" t="str">
        <v>۱۴۰۵/۰۷/۱۵</v>
      </c>
      <c r="M175" s="281" t="str">
        <v>۱۴۰۵/۰۷/۱۷</v>
      </c>
      <c r="N175" s="281" t="str">
        <v>۱۴۰۵/۰۷/۲۱</v>
      </c>
      <c r="O175" s="281" t="str">
        <v>۱۴۰۵/۰۷/۲۸</v>
      </c>
      <c r="P175" s="281" t="str">
        <v>تثبیت نهایی</v>
      </c>
      <c r="Q175" s="411"/>
      <c r="R175" s="687" t="n">
        <v>1</v>
      </c>
      <c r="S175" s="687"/>
      <c r="T175" s="412"/>
      <c r="U175" s="412"/>
      <c r="V175" s="412"/>
      <c r="W175" s="687" t="str">
        <v>0</v>
      </c>
      <c r="X175" s="412" t="str">
        <v>خیر</v>
      </c>
      <c r="Y175" s="413" t="str">
        <v>خیر</v>
      </c>
      <c r="Z175" s="430" t="str">
        <f>IF(AM175="","",IF(AM175&gt;AO175,"تثبیت نهایی",IFERROR(INDEX('برنامه خرد'!$A$2:$A$82,MATCH(AM175,'برنامه خرد'!$I$2:$I$82,0)),"تثبیت نهایی")))</f>
        <v>۱۴۰۵/۰۷/۱۶</v>
      </c>
      <c r="AA175" s="431" t="str">
        <v>۱۴۰۵/۰۷/۱۶</v>
      </c>
      <c r="AB175" s="690" t="n">
        <f>IF(AM175="","",AM175-AN175)</f>
        <v>0</v>
      </c>
      <c r="AC175" s="431" t="str">
        <f>IF(AM175="","فاقد داده",IF(AM175&gt;AO175,"انتقال به تثبیت نهایی",IF(AM175&lt;TODAY(),"عقب‌افتاده",IF(AM175=TODAY(),"سررسید امروز","آینده"))))</f>
        <v>آینده</v>
      </c>
      <c r="AD175" s="432" t="str">
        <f>IF(OR(AM175&gt;AO175,Z175="تثبیت نهایی"),"بله","خیر")</f>
        <v>خیر</v>
      </c>
      <c r="AE175" s="436" t="str">
        <v>این فرمول فقط تاریخ پیشنهادی را محاسبه می‌کند و ردیف‌های برنامهٔ روزانه را خودکار جابه‌جا نمی‌کند.</v>
      </c>
      <c r="AF175" s="1423" t="n">
        <v>46301</v>
      </c>
      <c r="AG175" s="1423" t="n">
        <v>46302</v>
      </c>
      <c r="AH175" s="1423" t="n">
        <v>46304</v>
      </c>
      <c r="AI175" s="1423" t="n">
        <v>46308</v>
      </c>
      <c r="AJ175" s="1423" t="n">
        <v>46315</v>
      </c>
      <c r="AK175" s="1423" t="n">
        <v>46329</v>
      </c>
      <c r="AL175" s="1423" t="str">
        <f>IFERROR(INDEX('برنامه خرد'!$I$2:$I$82,MATCH(Q175,'برنامه خرد'!$A$2:$A$82,0)),"")</f>
      </c>
      <c r="AM175" s="1423" t="n">
        <f>IF(AL175="",AN175,IF(T175="غلط یا کمتر از ۵۰٪",AL175+1,IF(T175="ناقص یا همراه با حدس",AL175+2,IF(T175="درست ولی کند و مردد",AL175+4,IF(T175="درست، سریع و کامل",IF(W175&gt;=2,AL175+IF(R175&lt;14,14,28),AL175+MIN(28,MAX(3,R175*2))),AN175)))))</f>
        <v>46303</v>
      </c>
      <c r="AN175" s="1423" t="n">
        <v>46303</v>
      </c>
      <c r="AO175" s="1423" t="n">
        <v>46317</v>
      </c>
    </row>
    <row r="176" ht="38" customHeight="1">
      <c r="A176" s="366" t="str">
        <v>U175</v>
      </c>
      <c r="B176" s="367" t="str">
        <v>روان‌شناسی رشد کرین</v>
      </c>
      <c r="C176" s="367" t="str">
        <v>روان‌شناسی رشد کرین</v>
      </c>
      <c r="D176" s="367" t="str">
        <v>15</v>
      </c>
      <c r="E176" s="367" t="str">
        <v>ساختار و تجربه‌های دوران کودکی</v>
      </c>
      <c r="F176" s="367" t="str">
        <v>واحد مطالعه بر اساس بازهٔ صفحه</v>
      </c>
      <c r="G176" s="367" t="str">
        <v>۵۲۶ تا ۵۳۰</v>
      </c>
      <c r="H176" s="680" t="n">
        <v>5</v>
      </c>
      <c r="I176" s="367" t="str">
        <v>۱۴۰۵/۰۷/۱۶</v>
      </c>
      <c r="J176" s="683" t="n">
        <v>21.8</v>
      </c>
      <c r="K176" s="367" t="str">
        <v>۱۴۰۵/۰۷/۱۶</v>
      </c>
      <c r="L176" s="367" t="str">
        <v>۱۴۰۵/۰۷/۱۷</v>
      </c>
      <c r="M176" s="367" t="str">
        <v>۱۴۰۵/۰۷/۱۹</v>
      </c>
      <c r="N176" s="367" t="str">
        <v>۱۴۰۵/۰۷/۲۳</v>
      </c>
      <c r="O176" s="367" t="str">
        <v>۱۴۰۵/۰۷/۳۰</v>
      </c>
      <c r="P176" s="367" t="str">
        <v>تثبیت نهایی</v>
      </c>
      <c r="Q176" s="411"/>
      <c r="R176" s="687" t="n">
        <v>1</v>
      </c>
      <c r="S176" s="687"/>
      <c r="T176" s="412"/>
      <c r="U176" s="412"/>
      <c r="V176" s="412"/>
      <c r="W176" s="687" t="str">
        <v>0</v>
      </c>
      <c r="X176" s="412" t="str">
        <v>خیر</v>
      </c>
      <c r="Y176" s="413" t="str">
        <v>خیر</v>
      </c>
      <c r="Z176" s="430" t="str">
        <f>IF(AM176="","",IF(AM176&gt;AO176,"تثبیت نهایی",IFERROR(INDEX('برنامه خرد'!$A$2:$A$82,MATCH(AM176,'برنامه خرد'!$I$2:$I$82,0)),"تثبیت نهایی")))</f>
        <v>۱۴۰۵/۰۷/۱۸</v>
      </c>
      <c r="AA176" s="431" t="str">
        <v>۱۴۰۵/۰۷/۱۸</v>
      </c>
      <c r="AB176" s="690" t="n">
        <f>IF(AM176="","",AM176-AN176)</f>
        <v>0</v>
      </c>
      <c r="AC176" s="431" t="str">
        <f>IF(AM176="","فاقد داده",IF(AM176&gt;AO176,"انتقال به تثبیت نهایی",IF(AM176&lt;TODAY(),"عقب‌افتاده",IF(AM176=TODAY(),"سررسید امروز","آینده"))))</f>
        <v>آینده</v>
      </c>
      <c r="AD176" s="432" t="str">
        <f>IF(OR(AM176&gt;AO176,Z176="تثبیت نهایی"),"بله","خیر")</f>
        <v>خیر</v>
      </c>
      <c r="AE176" s="436" t="str">
        <v>این فرمول فقط تاریخ پیشنهادی را محاسبه می‌کند و ردیف‌های برنامهٔ روزانه را خودکار جابه‌جا نمی‌کند.</v>
      </c>
      <c r="AF176" s="1423" t="n">
        <v>46303</v>
      </c>
      <c r="AG176" s="1423" t="n">
        <v>46304</v>
      </c>
      <c r="AH176" s="1423" t="n">
        <v>46306</v>
      </c>
      <c r="AI176" s="1423" t="n">
        <v>46310</v>
      </c>
      <c r="AJ176" s="1423" t="n">
        <v>46317</v>
      </c>
      <c r="AK176" s="1423" t="n">
        <v>46331</v>
      </c>
      <c r="AL176" s="1423" t="str">
        <f>IFERROR(INDEX('برنامه خرد'!$I$2:$I$82,MATCH(Q176,'برنامه خرد'!$A$2:$A$82,0)),"")</f>
      </c>
      <c r="AM176" s="1423" t="n">
        <f>IF(AL176="",AN176,IF(T176="غلط یا کمتر از ۵۰٪",AL176+1,IF(T176="ناقص یا همراه با حدس",AL176+2,IF(T176="درست ولی کند و مردد",AL176+4,IF(T176="درست، سریع و کامل",IF(W176&gt;=2,AL176+IF(R176&lt;14,14,28),AL176+MIN(28,MAX(3,R176*2))),AN176)))))</f>
        <v>46305</v>
      </c>
      <c r="AN176" s="1423" t="n">
        <v>46305</v>
      </c>
      <c r="AO176" s="1423" t="n">
        <v>46317</v>
      </c>
    </row>
    <row r="177" ht="38" customHeight="1">
      <c r="A177" s="280" t="str">
        <v>U176</v>
      </c>
      <c r="B177" s="281" t="str">
        <v>روان‌شناسی رشد کرین</v>
      </c>
      <c r="C177" s="281" t="str">
        <v>روان‌شناسی رشد کرین</v>
      </c>
      <c r="D177" s="281" t="str">
        <v>16</v>
      </c>
      <c r="E177" s="281" t="str">
        <v>نظریه یونگ درباره دوران بزرگسالی</v>
      </c>
      <c r="F177" s="281" t="str">
        <v>واحد مطالعه بر اساس بازهٔ صفحه</v>
      </c>
      <c r="G177" s="281" t="str">
        <v>۵۳۱ تا ۵۴۵</v>
      </c>
      <c r="H177" s="681" t="n">
        <v>15</v>
      </c>
      <c r="I177" s="281" t="str">
        <v>۱۴۰۵/۰۷/۱۶</v>
      </c>
      <c r="J177" s="684" t="n">
        <v>65.2</v>
      </c>
      <c r="K177" s="281" t="str">
        <v>۱۴۰۵/۰۷/۱۶</v>
      </c>
      <c r="L177" s="281" t="str">
        <v>۱۴۰۵/۰۷/۱۷</v>
      </c>
      <c r="M177" s="281" t="str">
        <v>۱۴۰۵/۰۷/۱۹</v>
      </c>
      <c r="N177" s="281" t="str">
        <v>۱۴۰۵/۰۷/۲۳</v>
      </c>
      <c r="O177" s="281" t="str">
        <v>۱۴۰۵/۰۷/۳۰</v>
      </c>
      <c r="P177" s="281" t="str">
        <v>تثبیت نهایی</v>
      </c>
      <c r="Q177" s="411"/>
      <c r="R177" s="687" t="n">
        <v>1</v>
      </c>
      <c r="S177" s="687"/>
      <c r="T177" s="412"/>
      <c r="U177" s="412"/>
      <c r="V177" s="412"/>
      <c r="W177" s="687" t="str">
        <v>0</v>
      </c>
      <c r="X177" s="412" t="str">
        <v>خیر</v>
      </c>
      <c r="Y177" s="413" t="str">
        <v>خیر</v>
      </c>
      <c r="Z177" s="430" t="str">
        <f>IF(AM177="","",IF(AM177&gt;AO177,"تثبیت نهایی",IFERROR(INDEX('برنامه خرد'!$A$2:$A$82,MATCH(AM177,'برنامه خرد'!$I$2:$I$82,0)),"تثبیت نهایی")))</f>
        <v>۱۴۰۵/۰۷/۱۸</v>
      </c>
      <c r="AA177" s="431" t="str">
        <v>۱۴۰۵/۰۷/۱۸</v>
      </c>
      <c r="AB177" s="690" t="n">
        <f>IF(AM177="","",AM177-AN177)</f>
        <v>0</v>
      </c>
      <c r="AC177" s="431" t="str">
        <f>IF(AM177="","فاقد داده",IF(AM177&gt;AO177,"انتقال به تثبیت نهایی",IF(AM177&lt;TODAY(),"عقب‌افتاده",IF(AM177=TODAY(),"سررسید امروز","آینده"))))</f>
        <v>آینده</v>
      </c>
      <c r="AD177" s="432" t="str">
        <f>IF(OR(AM177&gt;AO177,Z177="تثبیت نهایی"),"بله","خیر")</f>
        <v>خیر</v>
      </c>
      <c r="AE177" s="436" t="str">
        <v>این فرمول فقط تاریخ پیشنهادی را محاسبه می‌کند و ردیف‌های برنامهٔ روزانه را خودکار جابه‌جا نمی‌کند.</v>
      </c>
      <c r="AF177" s="1423" t="n">
        <v>46303</v>
      </c>
      <c r="AG177" s="1423" t="n">
        <v>46304</v>
      </c>
      <c r="AH177" s="1423" t="n">
        <v>46306</v>
      </c>
      <c r="AI177" s="1423" t="n">
        <v>46310</v>
      </c>
      <c r="AJ177" s="1423" t="n">
        <v>46317</v>
      </c>
      <c r="AK177" s="1423" t="n">
        <v>46331</v>
      </c>
      <c r="AL177" s="1423" t="str">
        <f>IFERROR(INDEX('برنامه خرد'!$I$2:$I$82,MATCH(Q177,'برنامه خرد'!$A$2:$A$82,0)),"")</f>
      </c>
      <c r="AM177" s="1423" t="n">
        <f>IF(AL177="",AN177,IF(T177="غلط یا کمتر از ۵۰٪",AL177+1,IF(T177="ناقص یا همراه با حدس",AL177+2,IF(T177="درست ولی کند و مردد",AL177+4,IF(T177="درست، سریع و کامل",IF(W177&gt;=2,AL177+IF(R177&lt;14,14,28),AL177+MIN(28,MAX(3,R177*2))),AN177)))))</f>
        <v>46305</v>
      </c>
      <c r="AN177" s="1423" t="n">
        <v>46305</v>
      </c>
      <c r="AO177" s="1423" t="n">
        <v>46317</v>
      </c>
    </row>
    <row r="178" ht="38" customHeight="1">
      <c r="A178" s="366" t="str">
        <v>U177</v>
      </c>
      <c r="B178" s="367" t="str">
        <v>روان‌شناسی رشد کرین</v>
      </c>
      <c r="C178" s="367" t="str">
        <v>روان‌شناسی رشد کرین</v>
      </c>
      <c r="D178" s="367" t="str">
        <v>16</v>
      </c>
      <c r="E178" s="367" t="str">
        <v>نظریه یونگ درباره دوران بزرگسالی</v>
      </c>
      <c r="F178" s="367" t="str">
        <v>واحد مطالعه بر اساس بازهٔ صفحه</v>
      </c>
      <c r="G178" s="367" t="str">
        <v>۵۴۶ تا ۵۵۰</v>
      </c>
      <c r="H178" s="680" t="n">
        <v>5</v>
      </c>
      <c r="I178" s="367" t="str">
        <v>۱۴۰۵/۰۷/۱۸</v>
      </c>
      <c r="J178" s="683" t="n">
        <v>25</v>
      </c>
      <c r="K178" s="367" t="str">
        <v>۱۴۰۵/۰۷/۱۸</v>
      </c>
      <c r="L178" s="367" t="str">
        <v>۱۴۰۵/۰۷/۱۹</v>
      </c>
      <c r="M178" s="367" t="str">
        <v>۱۴۰۵/۰۷/۲۱</v>
      </c>
      <c r="N178" s="367" t="str">
        <v>۱۴۰۵/۰۷/۲۵</v>
      </c>
      <c r="O178" s="367" t="str">
        <v>تثبیت نهایی</v>
      </c>
      <c r="P178" s="367" t="str">
        <v>تثبیت نهایی</v>
      </c>
      <c r="Q178" s="411"/>
      <c r="R178" s="687" t="n">
        <v>1</v>
      </c>
      <c r="S178" s="687"/>
      <c r="T178" s="412"/>
      <c r="U178" s="412"/>
      <c r="V178" s="412"/>
      <c r="W178" s="687" t="str">
        <v>0</v>
      </c>
      <c r="X178" s="412" t="str">
        <v>خیر</v>
      </c>
      <c r="Y178" s="413" t="str">
        <v>خیر</v>
      </c>
      <c r="Z178" s="430" t="str">
        <f>IF(AM178="","",IF(AM178&gt;AO178,"تثبیت نهایی",IFERROR(INDEX('برنامه خرد'!$A$2:$A$82,MATCH(AM178,'برنامه خرد'!$I$2:$I$82,0)),"تثبیت نهایی")))</f>
        <v>۱۴۰۵/۰۷/۱۹</v>
      </c>
      <c r="AA178" s="431" t="str">
        <v>۱۴۰۵/۰۷/۱۹</v>
      </c>
      <c r="AB178" s="690" t="n">
        <f>IF(AM178="","",AM178-AN178)</f>
        <v>0</v>
      </c>
      <c r="AC178" s="431" t="str">
        <f>IF(AM178="","فاقد داده",IF(AM178&gt;AO178,"انتقال به تثبیت نهایی",IF(AM178&lt;TODAY(),"عقب‌افتاده",IF(AM178=TODAY(),"سررسید امروز","آینده"))))</f>
        <v>آینده</v>
      </c>
      <c r="AD178" s="432" t="str">
        <f>IF(OR(AM178&gt;AO178,Z178="تثبیت نهایی"),"بله","خیر")</f>
        <v>خیر</v>
      </c>
      <c r="AE178" s="436" t="str">
        <v>این فرمول فقط تاریخ پیشنهادی را محاسبه می‌کند و ردیف‌های برنامهٔ روزانه را خودکار جابه‌جا نمی‌کند.</v>
      </c>
      <c r="AF178" s="1423" t="n">
        <v>46305</v>
      </c>
      <c r="AG178" s="1423" t="n">
        <v>46306</v>
      </c>
      <c r="AH178" s="1423" t="n">
        <v>46308</v>
      </c>
      <c r="AI178" s="1423" t="n">
        <v>46312</v>
      </c>
      <c r="AJ178" s="1423" t="n">
        <v>46319</v>
      </c>
      <c r="AK178" s="1423" t="n">
        <v>46333</v>
      </c>
      <c r="AL178" s="1423" t="str">
        <f>IFERROR(INDEX('برنامه خرد'!$I$2:$I$82,MATCH(Q178,'برنامه خرد'!$A$2:$A$82,0)),"")</f>
      </c>
      <c r="AM178" s="1423" t="n">
        <f>IF(AL178="",AN178,IF(T178="غلط یا کمتر از ۵۰٪",AL178+1,IF(T178="ناقص یا همراه با حدس",AL178+2,IF(T178="درست ولی کند و مردد",AL178+4,IF(T178="درست، سریع و کامل",IF(W178&gt;=2,AL178+IF(R178&lt;14,14,28),AL178+MIN(28,MAX(3,R178*2))),AN178)))))</f>
        <v>46306</v>
      </c>
      <c r="AN178" s="1423" t="n">
        <v>46306</v>
      </c>
      <c r="AO178" s="1423" t="n">
        <v>46317</v>
      </c>
    </row>
    <row r="179" ht="38" customHeight="1">
      <c r="A179" s="280" t="str">
        <v>U178</v>
      </c>
      <c r="B179" s="281" t="str">
        <v>روان‌شناسی رشد کرین</v>
      </c>
      <c r="C179" s="281" t="str">
        <v>روان‌شناسی رشد کرین</v>
      </c>
      <c r="D179" s="281" t="str">
        <v>17</v>
      </c>
      <c r="E179" s="281" t="str">
        <v>نظریه رشد زبان چامسکی</v>
      </c>
      <c r="F179" s="281" t="str">
        <v>واحد مطالعه بر اساس بازهٔ صفحه</v>
      </c>
      <c r="G179" s="281" t="str">
        <v>۵۵۱ تا ۵۵۵</v>
      </c>
      <c r="H179" s="681" t="n">
        <v>5</v>
      </c>
      <c r="I179" s="281" t="str">
        <v>۱۴۰۵/۰۷/۱۹</v>
      </c>
      <c r="J179" s="684" t="n">
        <v>25</v>
      </c>
      <c r="K179" s="281" t="str">
        <v>۱۴۰۵/۰۷/۱۹</v>
      </c>
      <c r="L179" s="281" t="str">
        <v>۱۴۰۵/۰۷/۲۰</v>
      </c>
      <c r="M179" s="281" t="str">
        <v>۱۴۰۵/۰۷/۲۲</v>
      </c>
      <c r="N179" s="281" t="str">
        <v>۱۴۰۵/۰۷/۲۶</v>
      </c>
      <c r="O179" s="281" t="str">
        <v>تثبیت نهایی</v>
      </c>
      <c r="P179" s="281" t="str">
        <v>تثبیت نهایی</v>
      </c>
      <c r="Q179" s="411"/>
      <c r="R179" s="687" t="n">
        <v>1</v>
      </c>
      <c r="S179" s="687"/>
      <c r="T179" s="412"/>
      <c r="U179" s="412"/>
      <c r="V179" s="412"/>
      <c r="W179" s="687" t="str">
        <v>0</v>
      </c>
      <c r="X179" s="412" t="str">
        <v>خیر</v>
      </c>
      <c r="Y179" s="413" t="str">
        <v>خیر</v>
      </c>
      <c r="Z179" s="430" t="str">
        <f>IF(AM179="","",IF(AM179&gt;AO179,"تثبیت نهایی",IFERROR(INDEX('برنامه خرد'!$A$2:$A$82,MATCH(AM179,'برنامه خرد'!$I$2:$I$82,0)),"تثبیت نهایی")))</f>
        <v>۱۴۰۵/۰۷/۲۰</v>
      </c>
      <c r="AA179" s="431" t="str">
        <v>۱۴۰۵/۰۷/۲۰</v>
      </c>
      <c r="AB179" s="690" t="n">
        <f>IF(AM179="","",AM179-AN179)</f>
        <v>0</v>
      </c>
      <c r="AC179" s="431" t="str">
        <f>IF(AM179="","فاقد داده",IF(AM179&gt;AO179,"انتقال به تثبیت نهایی",IF(AM179&lt;TODAY(),"عقب‌افتاده",IF(AM179=TODAY(),"سررسید امروز","آینده"))))</f>
        <v>آینده</v>
      </c>
      <c r="AD179" s="432" t="str">
        <f>IF(OR(AM179&gt;AO179,Z179="تثبیت نهایی"),"بله","خیر")</f>
        <v>خیر</v>
      </c>
      <c r="AE179" s="436" t="str">
        <v>این فرمول فقط تاریخ پیشنهادی را محاسبه می‌کند و ردیف‌های برنامهٔ روزانه را خودکار جابه‌جا نمی‌کند.</v>
      </c>
      <c r="AF179" s="1423" t="n">
        <v>46306</v>
      </c>
      <c r="AG179" s="1423" t="n">
        <v>46307</v>
      </c>
      <c r="AH179" s="1423" t="n">
        <v>46309</v>
      </c>
      <c r="AI179" s="1423" t="n">
        <v>46313</v>
      </c>
      <c r="AJ179" s="1423" t="n">
        <v>46320</v>
      </c>
      <c r="AK179" s="1423" t="n">
        <v>46334</v>
      </c>
      <c r="AL179" s="1423" t="str">
        <f>IFERROR(INDEX('برنامه خرد'!$I$2:$I$82,MATCH(Q179,'برنامه خرد'!$A$2:$A$82,0)),"")</f>
      </c>
      <c r="AM179" s="1423" t="n">
        <f>IF(AL179="",AN179,IF(T179="غلط یا کمتر از ۵۰٪",AL179+1,IF(T179="ناقص یا همراه با حدس",AL179+2,IF(T179="درست ولی کند و مردد",AL179+4,IF(T179="درست، سریع و کامل",IF(W179&gt;=2,AL179+IF(R179&lt;14,14,28),AL179+MIN(28,MAX(3,R179*2))),AN179)))))</f>
        <v>46307</v>
      </c>
      <c r="AN179" s="1423" t="n">
        <v>46307</v>
      </c>
      <c r="AO179" s="1423" t="n">
        <v>46317</v>
      </c>
    </row>
    <row r="180" ht="38" customHeight="1">
      <c r="A180" s="366" t="str">
        <v>U179</v>
      </c>
      <c r="B180" s="367" t="str">
        <v>روان‌شناسی رشد کرین</v>
      </c>
      <c r="C180" s="367" t="str">
        <v>روان‌شناسی رشد کرین</v>
      </c>
      <c r="D180" s="367" t="str">
        <v>17</v>
      </c>
      <c r="E180" s="367" t="str">
        <v>نظریه رشد زبان چامسکی</v>
      </c>
      <c r="F180" s="367" t="str">
        <v>واحد مطالعه بر اساس بازهٔ صفحه</v>
      </c>
      <c r="G180" s="367" t="str">
        <v>۵۵۶ تا ۵۶۰</v>
      </c>
      <c r="H180" s="680" t="n">
        <v>5</v>
      </c>
      <c r="I180" s="367" t="str">
        <v>۱۴۰۵/۰۷/۲۰</v>
      </c>
      <c r="J180" s="683" t="n">
        <v>25</v>
      </c>
      <c r="K180" s="367" t="str">
        <v>۱۴۰۵/۰۷/۲۰</v>
      </c>
      <c r="L180" s="367" t="str">
        <v>۱۴۰۵/۰۷/۲۱</v>
      </c>
      <c r="M180" s="367" t="str">
        <v>۱۴۰۵/۰۷/۲۳</v>
      </c>
      <c r="N180" s="367" t="str">
        <v>۱۴۰۵/۰۷/۲۷</v>
      </c>
      <c r="O180" s="367" t="str">
        <v>تثبیت نهایی</v>
      </c>
      <c r="P180" s="367" t="str">
        <v>تثبیت نهایی</v>
      </c>
      <c r="Q180" s="411"/>
      <c r="R180" s="687" t="n">
        <v>1</v>
      </c>
      <c r="S180" s="687"/>
      <c r="T180" s="412"/>
      <c r="U180" s="412"/>
      <c r="V180" s="412"/>
      <c r="W180" s="687" t="str">
        <v>0</v>
      </c>
      <c r="X180" s="412" t="str">
        <v>خیر</v>
      </c>
      <c r="Y180" s="413" t="str">
        <v>خیر</v>
      </c>
      <c r="Z180" s="430" t="str">
        <f>IF(AM180="","",IF(AM180&gt;AO180,"تثبیت نهایی",IFERROR(INDEX('برنامه خرد'!$A$2:$A$82,MATCH(AM180,'برنامه خرد'!$I$2:$I$82,0)),"تثبیت نهایی")))</f>
        <v>۱۴۰۵/۰۷/۲۱</v>
      </c>
      <c r="AA180" s="431" t="str">
        <v>۱۴۰۵/۰۷/۲۱</v>
      </c>
      <c r="AB180" s="690" t="n">
        <f>IF(AM180="","",AM180-AN180)</f>
        <v>0</v>
      </c>
      <c r="AC180" s="431" t="str">
        <f>IF(AM180="","فاقد داده",IF(AM180&gt;AO180,"انتقال به تثبیت نهایی",IF(AM180&lt;TODAY(),"عقب‌افتاده",IF(AM180=TODAY(),"سررسید امروز","آینده"))))</f>
        <v>آینده</v>
      </c>
      <c r="AD180" s="432" t="str">
        <f>IF(OR(AM180&gt;AO180,Z180="تثبیت نهایی"),"بله","خیر")</f>
        <v>خیر</v>
      </c>
      <c r="AE180" s="436" t="str">
        <v>این فرمول فقط تاریخ پیشنهادی را محاسبه می‌کند و ردیف‌های برنامهٔ روزانه را خودکار جابه‌جا نمی‌کند.</v>
      </c>
      <c r="AF180" s="1423" t="n">
        <v>46307</v>
      </c>
      <c r="AG180" s="1423" t="n">
        <v>46308</v>
      </c>
      <c r="AH180" s="1423" t="n">
        <v>46310</v>
      </c>
      <c r="AI180" s="1423" t="n">
        <v>46314</v>
      </c>
      <c r="AJ180" s="1423" t="n">
        <v>46321</v>
      </c>
      <c r="AK180" s="1423" t="n">
        <v>46335</v>
      </c>
      <c r="AL180" s="1423" t="str">
        <f>IFERROR(INDEX('برنامه خرد'!$I$2:$I$82,MATCH(Q180,'برنامه خرد'!$A$2:$A$82,0)),"")</f>
      </c>
      <c r="AM180" s="1423" t="n">
        <f>IF(AL180="",AN180,IF(T180="غلط یا کمتر از ۵۰٪",AL180+1,IF(T180="ناقص یا همراه با حدس",AL180+2,IF(T180="درست ولی کند و مردد",AL180+4,IF(T180="درست، سریع و کامل",IF(W180&gt;=2,AL180+IF(R180&lt;14,14,28),AL180+MIN(28,MAX(3,R180*2))),AN180)))))</f>
        <v>46308</v>
      </c>
      <c r="AN180" s="1423" t="n">
        <v>46308</v>
      </c>
      <c r="AO180" s="1423" t="n">
        <v>46317</v>
      </c>
    </row>
    <row r="181" ht="38" customHeight="1">
      <c r="A181" s="283" t="str">
        <v>U180</v>
      </c>
      <c r="B181" s="284" t="str">
        <v>روان‌شناسی رشد کرین</v>
      </c>
      <c r="C181" s="284" t="str">
        <v>روان‌شناسی رشد کرین</v>
      </c>
      <c r="D181" s="284" t="str">
        <v>17</v>
      </c>
      <c r="E181" s="284" t="str">
        <v>نظریه رشد زبان چامسکی</v>
      </c>
      <c r="F181" s="284" t="str">
        <v>واحد مطالعه بر اساس بازهٔ صفحه</v>
      </c>
      <c r="G181" s="284" t="str">
        <v>۵۶۱ تا ۵۸۰</v>
      </c>
      <c r="H181" s="682" t="n">
        <v>20</v>
      </c>
      <c r="I181" s="284" t="str">
        <v>۱۴۰۵/۰۷/۲۱</v>
      </c>
      <c r="J181" s="685" t="n">
        <v>87</v>
      </c>
      <c r="K181" s="284" t="str">
        <v>۱۴۰۵/۰۷/۲۱</v>
      </c>
      <c r="L181" s="284" t="str">
        <v>۱۴۰۵/۰۷/۲۲</v>
      </c>
      <c r="M181" s="284" t="str">
        <v>۱۴۰۵/۰۷/۲۴</v>
      </c>
      <c r="N181" s="284" t="str">
        <v>۱۴۰۵/۰۷/۲۸</v>
      </c>
      <c r="O181" s="284" t="str">
        <v>تثبیت نهایی</v>
      </c>
      <c r="P181" s="284" t="str">
        <v>تثبیت نهایی</v>
      </c>
      <c r="Q181" s="414"/>
      <c r="R181" s="688" t="n">
        <v>1</v>
      </c>
      <c r="S181" s="688"/>
      <c r="T181" s="415"/>
      <c r="U181" s="415"/>
      <c r="V181" s="415"/>
      <c r="W181" s="688" t="str">
        <v>0</v>
      </c>
      <c r="X181" s="415" t="str">
        <v>خیر</v>
      </c>
      <c r="Y181" s="416" t="str">
        <v>خیر</v>
      </c>
      <c r="Z181" s="433" t="str">
        <f>IF(AM181="","",IF(AM181&gt;AO181,"تثبیت نهایی",IFERROR(INDEX('برنامه خرد'!$A$2:$A$82,MATCH(AM181,'برنامه خرد'!$I$2:$I$82,0)),"تثبیت نهایی")))</f>
        <v>۱۴۰۵/۰۷/۲۱</v>
      </c>
      <c r="AA181" s="434" t="str">
        <v>۱۴۰۵/۰۷/۲۱</v>
      </c>
      <c r="AB181" s="691" t="n">
        <f>IF(AM181="","",AM181-AN181)</f>
        <v>0</v>
      </c>
      <c r="AC181" s="434" t="str">
        <f>IF(AM181="","فاقد داده",IF(AM181&gt;AO181,"انتقال به تثبیت نهایی",IF(AM181&lt;TODAY(),"عقب‌افتاده",IF(AM181=TODAY(),"سررسید امروز","آینده"))))</f>
        <v>آینده</v>
      </c>
      <c r="AD181" s="435" t="str">
        <f>IF(OR(AM181&gt;AO181,Z181="تثبیت نهایی"),"بله","خیر")</f>
        <v>خیر</v>
      </c>
      <c r="AE181" s="437" t="str">
        <v>این فرمول فقط تاریخ پیشنهادی را محاسبه می‌کند و ردیف‌های برنامهٔ روزانه را خودکار جابه‌جا نمی‌کند.</v>
      </c>
      <c r="AF181" s="1423" t="n">
        <v>46308</v>
      </c>
      <c r="AG181" s="1423" t="n">
        <v>46309</v>
      </c>
      <c r="AH181" s="1423" t="n">
        <v>46311</v>
      </c>
      <c r="AI181" s="1423" t="n">
        <v>46315</v>
      </c>
      <c r="AJ181" s="1423" t="n">
        <v>46322</v>
      </c>
      <c r="AK181" s="1423" t="n">
        <v>46336</v>
      </c>
      <c r="AL181" s="1423" t="str">
        <f>IFERROR(INDEX('برنامه خرد'!$I$2:$I$82,MATCH(Q181,'برنامه خرد'!$A$2:$A$82,0)),"")</f>
      </c>
      <c r="AM181" s="1423" t="n">
        <f>IF(AL181="",AN181,IF(T181="غلط یا کمتر از ۵۰٪",AL181+1,IF(T181="ناقص یا همراه با حدس",AL181+2,IF(T181="درست ولی کند و مردد",AL181+4,IF(T181="درست، سریع و کامل",IF(W181&gt;=2,AL181+IF(R181&lt;14,14,28),AL181+MIN(28,MAX(3,R181*2))),AN181)))))</f>
        <v>46308</v>
      </c>
      <c r="AN181" s="1423" t="n">
        <v>46308</v>
      </c>
      <c r="AO181" s="1423" t="n">
        <v>46317</v>
      </c>
    </row>
  </sheetData>
  <conditionalFormatting sqref="A2:F181">
    <cfRule type="expression" dxfId="24" priority="7">
      <formula>$B2="آسیب‌شناسی روانی"</formula>
    </cfRule>
    <cfRule type="expression" dxfId="25" priority="8">
      <formula>$B2="نظریه‌های روان‌درمانی پروچاسکا"</formula>
    </cfRule>
    <cfRule type="expression" dxfId="26" priority="9">
      <formula>$B2="روان‌شناسی رشد کرین"</formula>
    </cfRule>
  </conditionalFormatting>
  <conditionalFormatting sqref="S2:S181">
    <cfRule type="colorScale" priority="10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AC2:AC181">
    <cfRule type="expression" dxfId="27" priority="11">
      <formula>AC2="عقب‌افتاده"</formula>
    </cfRule>
    <cfRule type="expression" dxfId="28" priority="12">
      <formula>AC2="سررسید امروز"</formula>
    </cfRule>
    <cfRule type="expression" dxfId="29" priority="13">
      <formula>AC2="آینده"</formula>
    </cfRule>
  </conditionalFormatting>
  <conditionalFormatting sqref="AD2:AD181">
    <cfRule type="expression" dxfId="30" priority="14">
      <formula>AD2="بله"</formula>
    </cfRule>
  </conditionalFormatting>
  <conditionalFormatting sqref="Y2:Y181">
    <cfRule type="expression" dxfId="31" priority="15">
      <formula>Y2="بله"</formula>
    </cfRule>
  </conditionalFormatting>
  <conditionalFormatting sqref="T2:T181">
    <cfRule type="expression" dxfId="32" priority="16">
      <formula>T2="درست، سریع و کامل"</formula>
    </cfRule>
  </conditionalFormatting>
  <dataValidations count="6">
    <dataValidation type="list" sqref="Q2:Q181">
      <formula1>'برنامه خرد'!$A$2:$A$82</formula1>
    </dataValidation>
    <dataValidation type="list" sqref="T2:T181">
      <formula1>"غلط یا کمتر از ۵۰٪,ناقص یا همراه با حدس,درست ولی کند و مردد,درست، سریع و کامل"</formula1>
    </dataValidation>
    <dataValidation type="list" sqref="U2:U181">
      <formula1>"کند,متوسط,سریع"</formula1>
    </dataValidation>
    <dataValidation type="list" sqref="V2:V181">
      <formula1>"کم,متوسط,زیاد"</formula1>
    </dataValidation>
    <dataValidation type="list" sqref="X2:X181">
      <formula1>"بله,خیر"</formula1>
    </dataValidation>
    <dataValidation type="list" sqref="Y2:Y181">
      <formula1>"بله,خیر"</formula1>
    </dataValidation>
  </dataValidations>
  <pageMargins left="0.7" right="0.7" top="0.75" bottom="0.75" header="0.3" footer="0.3"/>
  <tableParts count="1">
    <tablePart ns1:id="Ra53cfb9364a9489b"/>
  </tableParts>
</worksheet>
</file>

<file path=xl/worksheets/sheet4.xml><?xml version="1.0" encoding="utf-8"?>
<worksheet xmlns="http://schemas.openxmlformats.org/spreadsheetml/2006/main">
  <sheetViews>
    <sheetView showGridLines="0" workbookViewId="0" rightToLeft="1"/>
  </sheetViews>
  <sheetFormatPr defaultRowHeight="15"/>
  <cols>
    <col min="1" max="1" width="27" hidden="0" customWidth="1"/>
    <col min="2" max="2" width="35" hidden="0" customWidth="1"/>
    <col min="3" max="3" width="29" hidden="0" customWidth="1"/>
    <col min="4" max="4" width="25" hidden="0" customWidth="1"/>
    <col min="5" max="5" width="46" hidden="0" customWidth="1"/>
    <col min="6" max="6" width="16" hidden="0" customWidth="1"/>
    <col min="7" max="7" width="16" hidden="0" customWidth="1"/>
    <col min="8" max="8" width="33" hidden="0" customWidth="1"/>
    <col min="9" max="9" width="16" hidden="0" customWidth="1"/>
    <col min="10" max="10" width="19" hidden="0" customWidth="1"/>
    <col min="11" max="11" width="33" hidden="0" customWidth="1"/>
    <col min="12" max="12" width="16" hidden="0" customWidth="1"/>
    <col min="13" max="13" width="46" hidden="0" customWidth="1"/>
  </cols>
  <sheetData>
    <row r="1" ht="30" customHeight="1">
      <c r="A1" s="395" t="str">
        <v>ممیزی، فرضیات و کنترل کیفیت برنامه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7"/>
    </row>
    <row r="2" ht="30" customHeight="1">
      <c r="A2" s="515"/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7"/>
    </row>
    <row r="3" ht="26" customHeight="1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7"/>
    </row>
    <row r="4" ht="26" customHeight="1">
      <c r="A4" s="559" t="str">
        <v>بخش الف — موجودی منابع استخراج‌شده</v>
      </c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367"/>
      <c r="M4" s="368"/>
    </row>
    <row r="5" ht="26" customHeight="1">
      <c r="A5" s="515" t="str">
        <v>درس</v>
      </c>
      <c r="B5" s="516" t="str">
        <v>عنوان دقیق منبع</v>
      </c>
      <c r="C5" s="516" t="str">
        <v>نویسنده</v>
      </c>
      <c r="D5" s="516" t="str">
        <v>مترجم</v>
      </c>
      <c r="E5" s="516" t="str">
        <v>چاپ/سال</v>
      </c>
      <c r="F5" s="516" t="str">
        <v>شروع لازم</v>
      </c>
      <c r="G5" s="516" t="str">
        <v>پایان لازم</v>
      </c>
      <c r="H5" s="516" t="str">
        <v>صفحات انجام‌شده</v>
      </c>
      <c r="I5" s="516" t="str">
        <v>صفحات حذف‌شده</v>
      </c>
      <c r="J5" s="516" t="str">
        <v>سرعت مطالعه</v>
      </c>
      <c r="K5" s="516" t="str">
        <v>ضریب رسمی</v>
      </c>
      <c r="L5" s="516" t="str">
        <v>وزن برنامه‌ریزی</v>
      </c>
      <c r="M5" s="517" t="str">
        <v>اطلاعات تست</v>
      </c>
    </row>
    <row r="6" ht="26" customHeight="1">
      <c r="A6" s="366" t="str">
        <v>آسیب‌شناسی روانی</v>
      </c>
      <c r="B6" s="367" t="str">
        <v>روان‌شناسی مرضی و آسیب‌شناسی</v>
      </c>
      <c r="C6" s="367" t="str">
        <v>مرتضی پیری</v>
      </c>
      <c r="D6" s="367" t="str">
        <v>ندارد</v>
      </c>
      <c r="E6" s="367" t="str">
        <v>اعلام نشده است</v>
      </c>
      <c r="F6" s="367" t="n">
        <v>2</v>
      </c>
      <c r="G6" s="367" t="n">
        <v>694</v>
      </c>
      <c r="H6" s="367" t="str">
        <v>هیچ</v>
      </c>
      <c r="I6" s="367" t="str">
        <v>هیچ</v>
      </c>
      <c r="J6" s="367" t="str">
        <v>14.1 صفحه در ساعتِ خالص — نیازمند تأیید سرعت مطالعه</v>
      </c>
      <c r="K6" s="367" t="n">
        <v>2</v>
      </c>
      <c r="L6" s="367" t="n">
        <v>2</v>
      </c>
      <c r="M6" s="368" t="str">
        <v>تست‌های پایان فصل کتاب + کتاب تست تکمیلی؛ در صورت کسری آزمونک بازیابی خودساخته</v>
      </c>
    </row>
    <row r="7" ht="26" customHeight="1">
      <c r="A7" s="345" t="str">
        <v>نظریه‌های روان‌درمانی پروچاسکا</v>
      </c>
      <c r="B7" s="346" t="str">
        <v>نظریه‌های روان‌درمانی پروچاسکا</v>
      </c>
      <c r="C7" s="346" t="str">
        <v>اعلام نشده است</v>
      </c>
      <c r="D7" s="346" t="str">
        <v>اعلام نشده است</v>
      </c>
      <c r="E7" s="346" t="str">
        <v>اعلام نشده است</v>
      </c>
      <c r="F7" s="346" t="n">
        <v>4</v>
      </c>
      <c r="G7" s="346" t="n">
        <v>860</v>
      </c>
      <c r="H7" s="346" t="str">
        <v>هیچ</v>
      </c>
      <c r="I7" s="346" t="str">
        <v>هیچ</v>
      </c>
      <c r="J7" s="346" t="str">
        <v>19.04 صفحه در ساعتِ خالص — نیازمند تأیید سرعت مطالعه</v>
      </c>
      <c r="K7" s="346" t="n">
        <v>3</v>
      </c>
      <c r="L7" s="346" t="n">
        <v>3</v>
      </c>
      <c r="M7" s="347" t="str">
        <v>فاقد بانک تست مشخص؛ آزمونک بازیابی خودساخته</v>
      </c>
    </row>
    <row r="8" ht="26" customHeight="1">
      <c r="A8" s="366" t="str">
        <v>روان‌شناسی رشد کرین</v>
      </c>
      <c r="B8" s="367" t="str">
        <v>روان‌شناسی رشد کرین</v>
      </c>
      <c r="C8" s="367" t="str">
        <v>ویلیام کرین</v>
      </c>
      <c r="D8" s="367" t="str">
        <v>اعلام نشده است</v>
      </c>
      <c r="E8" s="367" t="str">
        <v>اعلام نشده است</v>
      </c>
      <c r="F8" s="367" t="n">
        <v>27</v>
      </c>
      <c r="G8" s="367" t="n">
        <v>580</v>
      </c>
      <c r="H8" s="367" t="str">
        <v>۲۷ تا ۵۵</v>
      </c>
      <c r="I8" s="367" t="str">
        <v>هیچ</v>
      </c>
      <c r="J8" s="367" t="str">
        <v>13.83 صفحه در ساعتِ خالص — نیازمند تأیید سرعت مطالعه</v>
      </c>
      <c r="K8" s="367" t="n">
        <v>2</v>
      </c>
      <c r="L8" s="367" t="n">
        <v>2</v>
      </c>
      <c r="M8" s="368" t="str">
        <v>بانک تست موجود کاربر</v>
      </c>
    </row>
    <row r="9" ht="26" customHeight="1">
      <c r="A9" s="345"/>
      <c r="B9" s="346"/>
      <c r="C9" s="346"/>
      <c r="D9" s="346"/>
      <c r="E9" s="346"/>
      <c r="F9" s="346"/>
      <c r="G9" s="346"/>
      <c r="H9" s="346"/>
      <c r="I9" s="346"/>
      <c r="J9" s="346"/>
      <c r="K9" s="346"/>
      <c r="L9" s="346"/>
      <c r="M9" s="347"/>
    </row>
    <row r="10" ht="26" customHeight="1">
      <c r="A10" s="366"/>
      <c r="B10" s="367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8"/>
    </row>
    <row r="11" ht="26" customHeight="1">
      <c r="A11" s="713" t="str">
        <v>بخش ب — گزارش استخراج فهرست مطالب</v>
      </c>
      <c r="B11" s="714"/>
      <c r="C11" s="714"/>
      <c r="D11" s="714"/>
      <c r="E11" s="714"/>
      <c r="F11" s="714"/>
      <c r="G11" s="714"/>
      <c r="H11" s="714"/>
      <c r="I11" s="714"/>
      <c r="J11" s="714"/>
      <c r="K11" s="714"/>
      <c r="L11" s="714"/>
      <c r="M11" s="715"/>
    </row>
    <row r="12" ht="26" customHeight="1">
      <c r="A12" s="561" t="str">
        <v>نام فایل پیوست</v>
      </c>
      <c r="B12" s="562" t="str">
        <v>صفحه فایل</v>
      </c>
      <c r="C12" s="562" t="str">
        <v>درس</v>
      </c>
      <c r="D12" s="562" t="str">
        <v>شماره فصل</v>
      </c>
      <c r="E12" s="562" t="str">
        <v>عنوان فصل</v>
      </c>
      <c r="F12" s="562" t="str">
        <v>صفحه شروع</v>
      </c>
      <c r="G12" s="562" t="str">
        <v>صفحه پایان</v>
      </c>
      <c r="H12" s="562" t="str">
        <v>روش تعیین پایان</v>
      </c>
      <c r="I12" s="562" t="str">
        <v>اطمینان</v>
      </c>
      <c r="J12" s="562" t="str">
        <v>وضعیت راستی‌آزمایی</v>
      </c>
      <c r="K12" s="562" t="str">
        <v>یادداشت ابهام</v>
      </c>
      <c r="L12" s="562"/>
      <c r="M12" s="563"/>
    </row>
    <row r="13" ht="26" customHeight="1">
      <c r="A13" s="345" t="str">
        <v>تصویر فهرست آسیب‌شناسی روانی</v>
      </c>
      <c r="B13" s="346" t="n">
        <v>1</v>
      </c>
      <c r="C13" s="346" t="str">
        <v>آسیب‌شناسی روانی</v>
      </c>
      <c r="D13" s="346" t="str">
        <v>1</v>
      </c>
      <c r="E13" s="346" t="str">
        <v>تعریف اختلال روانی</v>
      </c>
      <c r="F13" s="346" t="n">
        <v>1</v>
      </c>
      <c r="G13" s="346" t="n">
        <v>94</v>
      </c>
      <c r="H13" s="346" t="str">
        <v>استنتاج‌شده از شروع فصل بعدی</v>
      </c>
      <c r="I13" s="346" t="str">
        <v>بالا</v>
      </c>
      <c r="J13" s="346" t="str">
        <v>تأیید بصری</v>
      </c>
      <c r="K13" s="346"/>
      <c r="L13" s="346"/>
      <c r="M13" s="347"/>
    </row>
    <row r="14" ht="26" customHeight="1">
      <c r="A14" s="366" t="str">
        <v>تصویر فهرست آسیب‌شناسی روانی</v>
      </c>
      <c r="B14" s="367" t="n">
        <v>1</v>
      </c>
      <c r="C14" s="367" t="str">
        <v>آسیب‌شناسی روانی</v>
      </c>
      <c r="D14" s="367" t="str">
        <v>2</v>
      </c>
      <c r="E14" s="367" t="str">
        <v>اختلال عصبی ـ رشدی</v>
      </c>
      <c r="F14" s="367" t="n">
        <v>95</v>
      </c>
      <c r="G14" s="367" t="n">
        <v>132</v>
      </c>
      <c r="H14" s="367" t="str">
        <v>استنتاج‌شده از شروع فصل بعدی</v>
      </c>
      <c r="I14" s="367" t="str">
        <v>بالا</v>
      </c>
      <c r="J14" s="367" t="str">
        <v>تأیید بصری</v>
      </c>
      <c r="K14" s="367"/>
      <c r="L14" s="367"/>
      <c r="M14" s="368"/>
    </row>
    <row r="15" ht="26" customHeight="1">
      <c r="A15" s="345" t="str">
        <v>تصویر فهرست آسیب‌شناسی روانی</v>
      </c>
      <c r="B15" s="346" t="n">
        <v>1</v>
      </c>
      <c r="C15" s="346" t="str">
        <v>آسیب‌شناسی روانی</v>
      </c>
      <c r="D15" s="346" t="str">
        <v>3</v>
      </c>
      <c r="E15" s="346" t="str">
        <v>طیف اسکیزوفرنی و سایر اختلالات سایکوتیک</v>
      </c>
      <c r="F15" s="346" t="n">
        <v>133</v>
      </c>
      <c r="G15" s="346" t="n">
        <v>246</v>
      </c>
      <c r="H15" s="346" t="str">
        <v>استنتاج‌شده از شروع فصل بعدی</v>
      </c>
      <c r="I15" s="346" t="str">
        <v>بالا</v>
      </c>
      <c r="J15" s="346" t="str">
        <v>تأیید بصری</v>
      </c>
      <c r="K15" s="346"/>
      <c r="L15" s="346"/>
      <c r="M15" s="347"/>
    </row>
    <row r="16" ht="26" customHeight="1">
      <c r="A16" s="366" t="str">
        <v>تصویر فهرست آسیب‌شناسی روانی</v>
      </c>
      <c r="B16" s="367" t="n">
        <v>1</v>
      </c>
      <c r="C16" s="367" t="str">
        <v>آسیب‌شناسی روانی</v>
      </c>
      <c r="D16" s="367" t="str">
        <v>4</v>
      </c>
      <c r="E16" s="367" t="str">
        <v>دوقطبی و اختلالات مرتبط</v>
      </c>
      <c r="F16" s="367" t="n">
        <v>247</v>
      </c>
      <c r="G16" s="367" t="n">
        <v>260</v>
      </c>
      <c r="H16" s="367" t="str">
        <v>استنتاج‌شده از شروع فصل بعدی</v>
      </c>
      <c r="I16" s="367" t="str">
        <v>بالا</v>
      </c>
      <c r="J16" s="367" t="str">
        <v>تأیید بصری</v>
      </c>
      <c r="K16" s="367"/>
      <c r="L16" s="367"/>
      <c r="M16" s="368"/>
    </row>
    <row r="17" ht="26" customHeight="1">
      <c r="A17" s="345" t="str">
        <v>تصویر فهرست آسیب‌شناسی روانی</v>
      </c>
      <c r="B17" s="346" t="n">
        <v>1</v>
      </c>
      <c r="C17" s="346" t="str">
        <v>آسیب‌شناسی روانی</v>
      </c>
      <c r="D17" s="346" t="str">
        <v>5</v>
      </c>
      <c r="E17" s="346" t="str">
        <v>اختلالات افسردگی</v>
      </c>
      <c r="F17" s="346" t="n">
        <v>261</v>
      </c>
      <c r="G17" s="346" t="n">
        <v>310</v>
      </c>
      <c r="H17" s="346" t="str">
        <v>استنتاج‌شده از شروع فصل بعدی</v>
      </c>
      <c r="I17" s="346" t="str">
        <v>بالا</v>
      </c>
      <c r="J17" s="346" t="str">
        <v>تأیید بصری</v>
      </c>
      <c r="K17" s="346"/>
      <c r="L17" s="346"/>
      <c r="M17" s="347"/>
    </row>
    <row r="18" ht="26" customHeight="1">
      <c r="A18" s="366" t="str">
        <v>تصویر فهرست آسیب‌شناسی روانی</v>
      </c>
      <c r="B18" s="367" t="n">
        <v>1</v>
      </c>
      <c r="C18" s="367" t="str">
        <v>آسیب‌شناسی روانی</v>
      </c>
      <c r="D18" s="367" t="str">
        <v>6</v>
      </c>
      <c r="E18" s="367" t="str">
        <v>اختلالات اضطرابی</v>
      </c>
      <c r="F18" s="367" t="n">
        <v>311</v>
      </c>
      <c r="G18" s="367" t="n">
        <v>356</v>
      </c>
      <c r="H18" s="367" t="str">
        <v>استنتاج‌شده از شروع فصل بعدی</v>
      </c>
      <c r="I18" s="367" t="str">
        <v>بالا</v>
      </c>
      <c r="J18" s="367" t="str">
        <v>تأیید بصری</v>
      </c>
      <c r="K18" s="367"/>
      <c r="L18" s="367"/>
      <c r="M18" s="368"/>
    </row>
    <row r="19" ht="26" customHeight="1">
      <c r="A19" s="345" t="str">
        <v>تصویر فهرست آسیب‌شناسی روانی</v>
      </c>
      <c r="B19" s="346" t="n">
        <v>1</v>
      </c>
      <c r="C19" s="346" t="str">
        <v>آسیب‌شناسی روانی</v>
      </c>
      <c r="D19" s="346" t="str">
        <v>7</v>
      </c>
      <c r="E19" s="346" t="str">
        <v>وسواس فکری ـ عملی و اختلالات مرتبط</v>
      </c>
      <c r="F19" s="346" t="n">
        <v>357</v>
      </c>
      <c r="G19" s="346" t="n">
        <v>386</v>
      </c>
      <c r="H19" s="346" t="str">
        <v>استنتاج‌شده از شروع فصل بعدی</v>
      </c>
      <c r="I19" s="346" t="str">
        <v>بالا</v>
      </c>
      <c r="J19" s="346" t="str">
        <v>تأیید بصری</v>
      </c>
      <c r="K19" s="346"/>
      <c r="L19" s="346"/>
      <c r="M19" s="347"/>
    </row>
    <row r="20" ht="26" customHeight="1">
      <c r="A20" s="366" t="str">
        <v>تصویر فهرست آسیب‌شناسی روانی</v>
      </c>
      <c r="B20" s="367" t="n">
        <v>1</v>
      </c>
      <c r="C20" s="367" t="str">
        <v>آسیب‌شناسی روانی</v>
      </c>
      <c r="D20" s="367" t="str">
        <v>8</v>
      </c>
      <c r="E20" s="367" t="str">
        <v>اختلالات ناشی از تروما و عوامل استرس‌زا</v>
      </c>
      <c r="F20" s="367" t="n">
        <v>387</v>
      </c>
      <c r="G20" s="367" t="n">
        <v>410</v>
      </c>
      <c r="H20" s="367" t="str">
        <v>استنتاج‌شده از شروع فصل بعدی</v>
      </c>
      <c r="I20" s="367" t="str">
        <v>بالا</v>
      </c>
      <c r="J20" s="367" t="str">
        <v>تأیید بصری</v>
      </c>
      <c r="K20" s="367"/>
      <c r="L20" s="367"/>
      <c r="M20" s="368"/>
    </row>
    <row r="21" ht="26" customHeight="1">
      <c r="A21" s="345" t="str">
        <v>تصویر فهرست آسیب‌شناسی روانی</v>
      </c>
      <c r="B21" s="346" t="n">
        <v>1</v>
      </c>
      <c r="C21" s="346" t="str">
        <v>آسیب‌شناسی روانی</v>
      </c>
      <c r="D21" s="346" t="str">
        <v>9</v>
      </c>
      <c r="E21" s="346" t="str">
        <v>اختلالات تجزیه‌ای</v>
      </c>
      <c r="F21" s="346" t="n">
        <v>411</v>
      </c>
      <c r="G21" s="346" t="n">
        <v>434</v>
      </c>
      <c r="H21" s="346" t="str">
        <v>استنتاج‌شده از شروع فصل بعدی</v>
      </c>
      <c r="I21" s="346" t="str">
        <v>بالا</v>
      </c>
      <c r="J21" s="346" t="str">
        <v>تأیید بصری</v>
      </c>
      <c r="K21" s="346"/>
      <c r="L21" s="346"/>
      <c r="M21" s="347"/>
    </row>
    <row r="22" ht="26" customHeight="1">
      <c r="A22" s="366" t="str">
        <v>تصویر فهرست آسیب‌شناسی روانی</v>
      </c>
      <c r="B22" s="367" t="n">
        <v>1</v>
      </c>
      <c r="C22" s="367" t="str">
        <v>آسیب‌شناسی روانی</v>
      </c>
      <c r="D22" s="367" t="str">
        <v>10</v>
      </c>
      <c r="E22" s="367" t="str">
        <v>اختلالات سوماتیک سیمپتوم</v>
      </c>
      <c r="F22" s="367" t="n">
        <v>435</v>
      </c>
      <c r="G22" s="367" t="n">
        <v>460</v>
      </c>
      <c r="H22" s="367" t="str">
        <v>استنتاج‌شده از شروع فصل بعدی</v>
      </c>
      <c r="I22" s="367" t="str">
        <v>بالا</v>
      </c>
      <c r="J22" s="367" t="str">
        <v>تأیید بصری</v>
      </c>
      <c r="K22" s="367"/>
      <c r="L22" s="367"/>
      <c r="M22" s="368"/>
    </row>
    <row r="23" ht="26" customHeight="1">
      <c r="A23" s="345" t="str">
        <v>تصویر فهرست آسیب‌شناسی روانی</v>
      </c>
      <c r="B23" s="346" t="n">
        <v>1</v>
      </c>
      <c r="C23" s="346" t="str">
        <v>آسیب‌شناسی روانی</v>
      </c>
      <c r="D23" s="346" t="str">
        <v>11</v>
      </c>
      <c r="E23" s="346" t="str">
        <v>اختلالات خوردن و تغذیه</v>
      </c>
      <c r="F23" s="346" t="n">
        <v>461</v>
      </c>
      <c r="G23" s="346" t="n">
        <v>480</v>
      </c>
      <c r="H23" s="346" t="str">
        <v>استنتاج‌شده از شروع فصل بعدی</v>
      </c>
      <c r="I23" s="346" t="str">
        <v>بالا</v>
      </c>
      <c r="J23" s="346" t="str">
        <v>تأیید بصری</v>
      </c>
      <c r="K23" s="346"/>
      <c r="L23" s="346"/>
      <c r="M23" s="347"/>
    </row>
    <row r="24" ht="26" customHeight="1">
      <c r="A24" s="366" t="str">
        <v>تصویر فهرست آسیب‌شناسی روانی</v>
      </c>
      <c r="B24" s="367" t="n">
        <v>1</v>
      </c>
      <c r="C24" s="367" t="str">
        <v>آسیب‌شناسی روانی</v>
      </c>
      <c r="D24" s="367" t="str">
        <v>12</v>
      </c>
      <c r="E24" s="367" t="str">
        <v>اختلالات دفع</v>
      </c>
      <c r="F24" s="367" t="n">
        <v>481</v>
      </c>
      <c r="G24" s="367" t="n">
        <v>486</v>
      </c>
      <c r="H24" s="367" t="str">
        <v>استنتاج‌شده از شروع فصل بعدی</v>
      </c>
      <c r="I24" s="367" t="str">
        <v>بالا</v>
      </c>
      <c r="J24" s="367" t="str">
        <v>تأیید بصری</v>
      </c>
      <c r="K24" s="367"/>
      <c r="L24" s="367"/>
      <c r="M24" s="368"/>
    </row>
    <row r="25" ht="26" customHeight="1">
      <c r="A25" s="345" t="str">
        <v>تصویر فهرست آسیب‌شناسی روانی</v>
      </c>
      <c r="B25" s="346" t="n">
        <v>1</v>
      </c>
      <c r="C25" s="346" t="str">
        <v>آسیب‌شناسی روانی</v>
      </c>
      <c r="D25" s="346" t="str">
        <v>13</v>
      </c>
      <c r="E25" s="346" t="str">
        <v>اختلالات خواب و بیداری</v>
      </c>
      <c r="F25" s="346" t="n">
        <v>487</v>
      </c>
      <c r="G25" s="346" t="n">
        <v>504</v>
      </c>
      <c r="H25" s="346" t="str">
        <v>استنتاج‌شده از شروع فصل بعدی</v>
      </c>
      <c r="I25" s="346" t="str">
        <v>بالا</v>
      </c>
      <c r="J25" s="346" t="str">
        <v>تأیید بصری</v>
      </c>
      <c r="K25" s="346"/>
      <c r="L25" s="346"/>
      <c r="M25" s="347"/>
    </row>
    <row r="26" ht="26" customHeight="1">
      <c r="A26" s="366" t="str">
        <v>تصویر فهرست آسیب‌شناسی روانی</v>
      </c>
      <c r="B26" s="367" t="n">
        <v>1</v>
      </c>
      <c r="C26" s="367" t="str">
        <v>آسیب‌شناسی روانی</v>
      </c>
      <c r="D26" s="367" t="str">
        <v>14</v>
      </c>
      <c r="E26" s="367" t="str">
        <v>اختلالات جنسی</v>
      </c>
      <c r="F26" s="367" t="n">
        <v>505</v>
      </c>
      <c r="G26" s="367" t="n">
        <v>512</v>
      </c>
      <c r="H26" s="367" t="str">
        <v>استنتاج‌شده از شروع فصل بعدی</v>
      </c>
      <c r="I26" s="367" t="str">
        <v>بالا</v>
      </c>
      <c r="J26" s="367" t="str">
        <v>تأیید بصری</v>
      </c>
      <c r="K26" s="367"/>
      <c r="L26" s="367"/>
      <c r="M26" s="368"/>
    </row>
    <row r="27" ht="26" customHeight="1">
      <c r="A27" s="345" t="str">
        <v>تصویر فهرست آسیب‌شناسی روانی</v>
      </c>
      <c r="B27" s="346" t="n">
        <v>1</v>
      </c>
      <c r="C27" s="346" t="str">
        <v>آسیب‌شناسی روانی</v>
      </c>
      <c r="D27" s="346" t="str">
        <v>15</v>
      </c>
      <c r="E27" s="346" t="str">
        <v>اختلالات اخلالگرانه، کنترل تکانه و سلوک</v>
      </c>
      <c r="F27" s="346" t="n">
        <v>513</v>
      </c>
      <c r="G27" s="346" t="n">
        <v>538</v>
      </c>
      <c r="H27" s="346" t="str">
        <v>استنتاج‌شده از شروع فصل بعدی</v>
      </c>
      <c r="I27" s="346" t="str">
        <v>بالا</v>
      </c>
      <c r="J27" s="346" t="str">
        <v>تأیید بصری</v>
      </c>
      <c r="K27" s="346"/>
      <c r="L27" s="346"/>
      <c r="M27" s="347"/>
    </row>
    <row r="28" ht="26" customHeight="1">
      <c r="A28" s="366" t="str">
        <v>تصویر فهرست آسیب‌شناسی روانی</v>
      </c>
      <c r="B28" s="367" t="n">
        <v>1</v>
      </c>
      <c r="C28" s="367" t="str">
        <v>آسیب‌شناسی روانی</v>
      </c>
      <c r="D28" s="367" t="str">
        <v>16</v>
      </c>
      <c r="E28" s="367" t="str">
        <v>اختلالات مرتبط با مواد و اعتیادآور</v>
      </c>
      <c r="F28" s="367" t="n">
        <v>539</v>
      </c>
      <c r="G28" s="367" t="n">
        <v>554</v>
      </c>
      <c r="H28" s="367" t="str">
        <v>استنتاج‌شده از شروع فصل بعدی</v>
      </c>
      <c r="I28" s="367" t="str">
        <v>بالا</v>
      </c>
      <c r="J28" s="367" t="str">
        <v>تأیید بصری</v>
      </c>
      <c r="K28" s="367"/>
      <c r="L28" s="367"/>
      <c r="M28" s="368"/>
    </row>
    <row r="29" ht="26" customHeight="1">
      <c r="A29" s="345" t="str">
        <v>تصویر فهرست آسیب‌شناسی روانی</v>
      </c>
      <c r="B29" s="346" t="n">
        <v>1</v>
      </c>
      <c r="C29" s="346" t="str">
        <v>آسیب‌شناسی روانی</v>
      </c>
      <c r="D29" s="346" t="str">
        <v>17</v>
      </c>
      <c r="E29" s="346" t="str">
        <v>اختلالات عصبی ـ شناختی</v>
      </c>
      <c r="F29" s="346" t="n">
        <v>555</v>
      </c>
      <c r="G29" s="346" t="n">
        <v>574</v>
      </c>
      <c r="H29" s="346" t="str">
        <v>استنتاج‌شده از شروع فصل بعدی</v>
      </c>
      <c r="I29" s="346" t="str">
        <v>بالا</v>
      </c>
      <c r="J29" s="346" t="str">
        <v>تأیید بصری</v>
      </c>
      <c r="K29" s="346"/>
      <c r="L29" s="346"/>
      <c r="M29" s="347"/>
    </row>
    <row r="30" ht="26" customHeight="1">
      <c r="A30" s="366" t="str">
        <v>تصویر فهرست آسیب‌شناسی روانی</v>
      </c>
      <c r="B30" s="367" t="n">
        <v>1</v>
      </c>
      <c r="C30" s="367" t="str">
        <v>آسیب‌شناسی روانی</v>
      </c>
      <c r="D30" s="367" t="str">
        <v>18</v>
      </c>
      <c r="E30" s="367" t="str">
        <v>اختلالات شخصیت</v>
      </c>
      <c r="F30" s="367" t="n">
        <v>575</v>
      </c>
      <c r="G30" s="367" t="n">
        <v>614</v>
      </c>
      <c r="H30" s="367" t="str">
        <v>استنتاج‌شده از شروع فصل بعدی</v>
      </c>
      <c r="I30" s="367" t="str">
        <v>بالا</v>
      </c>
      <c r="J30" s="367" t="str">
        <v>تأیید بصری</v>
      </c>
      <c r="K30" s="367"/>
      <c r="L30" s="367"/>
      <c r="M30" s="368"/>
    </row>
    <row r="31" ht="26" customHeight="1">
      <c r="A31" s="345" t="str">
        <v>تصویر فهرست آسیب‌شناسی روانی</v>
      </c>
      <c r="B31" s="346" t="n">
        <v>1</v>
      </c>
      <c r="C31" s="346" t="str">
        <v>آسیب‌شناسی روانی</v>
      </c>
      <c r="D31" s="346" t="str">
        <v>19</v>
      </c>
      <c r="E31" s="346" t="str">
        <v>مهم‌ترین تغییرات رخ‌داده در DSM-5</v>
      </c>
      <c r="F31" s="346" t="n">
        <v>615</v>
      </c>
      <c r="G31" s="346" t="n">
        <v>642</v>
      </c>
      <c r="H31" s="346" t="str">
        <v>استنتاج‌شده از شروع فصل بعدی</v>
      </c>
      <c r="I31" s="346" t="str">
        <v>بالا</v>
      </c>
      <c r="J31" s="346" t="str">
        <v>تأیید بصری</v>
      </c>
      <c r="K31" s="346"/>
      <c r="L31" s="346"/>
      <c r="M31" s="347"/>
    </row>
    <row r="32" ht="26" customHeight="1">
      <c r="A32" s="366" t="str">
        <v>تصویر فهرست آسیب‌شناسی روانی</v>
      </c>
      <c r="B32" s="367" t="n">
        <v>1</v>
      </c>
      <c r="C32" s="367" t="str">
        <v>آسیب‌شناسی روانی</v>
      </c>
      <c r="D32" s="367" t="str">
        <v>پیوست</v>
      </c>
      <c r="E32" s="367" t="str">
        <v>آزمون‌های کارشناسی ارشد و دکتری ۱۴۰۱ تا ۱۴۰۴</v>
      </c>
      <c r="F32" s="367" t="n">
        <v>643</v>
      </c>
      <c r="G32" s="367" t="n">
        <v>694</v>
      </c>
      <c r="H32" s="367" t="str">
        <v>پایان موردنیازِ اعلام‌شده توسط کاربر</v>
      </c>
      <c r="I32" s="367" t="str">
        <v>بالا</v>
      </c>
      <c r="J32" s="367" t="str">
        <v>تأیید بصری</v>
      </c>
      <c r="K32" s="367"/>
      <c r="L32" s="367"/>
      <c r="M32" s="368"/>
    </row>
    <row r="33" ht="26" customHeight="1">
      <c r="A33" s="345" t="str">
        <v>فهرست پروچاسکاا.pdf</v>
      </c>
      <c r="B33" s="346" t="n">
        <v>1</v>
      </c>
      <c r="C33" s="346" t="str">
        <v>نظریه‌های روان‌درمانی پروچاسکا</v>
      </c>
      <c r="D33" s="346" t="str">
        <v>1</v>
      </c>
      <c r="E33" s="346" t="str">
        <v>تعریف و مقایسه روان‌درمانی‌ها: چارچوب یکپارچه‌نگر</v>
      </c>
      <c r="F33" s="346" t="n">
        <v>1</v>
      </c>
      <c r="G33" s="346" t="n">
        <v>34</v>
      </c>
      <c r="H33" s="346" t="str">
        <v>استنتاج‌شده از شروع فصل بعدی</v>
      </c>
      <c r="I33" s="346" t="str">
        <v>بالا</v>
      </c>
      <c r="J33" s="346" t="str">
        <v>تأیید بصری</v>
      </c>
      <c r="K33" s="346"/>
      <c r="L33" s="346"/>
      <c r="M33" s="347"/>
    </row>
    <row r="34" ht="26" customHeight="1">
      <c r="A34" s="366" t="str">
        <v>فهرست پروچاسکاا.pdf</v>
      </c>
      <c r="B34" s="367" t="n">
        <v>1</v>
      </c>
      <c r="C34" s="367" t="str">
        <v>نظریه‌های روان‌درمانی پروچاسکا</v>
      </c>
      <c r="D34" s="367" t="str">
        <v>2</v>
      </c>
      <c r="E34" s="367" t="str">
        <v>درمان‌های روان‌کاوی</v>
      </c>
      <c r="F34" s="367" t="n">
        <v>35</v>
      </c>
      <c r="G34" s="367" t="n">
        <v>90</v>
      </c>
      <c r="H34" s="367" t="str">
        <v>استنتاج‌شده از شروع فصل بعدی</v>
      </c>
      <c r="I34" s="367" t="str">
        <v>بالا</v>
      </c>
      <c r="J34" s="367" t="str">
        <v>تأیید بصری</v>
      </c>
      <c r="K34" s="367"/>
      <c r="L34" s="367"/>
      <c r="M34" s="368"/>
    </row>
    <row r="35" ht="26" customHeight="1">
      <c r="A35" s="345" t="str">
        <v>فهرست پروچاسکاا.pdf</v>
      </c>
      <c r="B35" s="346" t="n">
        <v>3</v>
      </c>
      <c r="C35" s="346" t="str">
        <v>نظریه‌های روان‌درمانی پروچاسکا</v>
      </c>
      <c r="D35" s="346" t="str">
        <v>3</v>
      </c>
      <c r="E35" s="346" t="str">
        <v>درمان‌های روان‌پویشی</v>
      </c>
      <c r="F35" s="346" t="n">
        <v>91</v>
      </c>
      <c r="G35" s="346" t="n">
        <v>146</v>
      </c>
      <c r="H35" s="346" t="str">
        <v>استنتاج‌شده از شروع فصل بعدی</v>
      </c>
      <c r="I35" s="346" t="str">
        <v>بالا</v>
      </c>
      <c r="J35" s="346" t="str">
        <v>تأیید بصری</v>
      </c>
      <c r="K35" s="346"/>
      <c r="L35" s="346"/>
      <c r="M35" s="347"/>
    </row>
    <row r="36" ht="26" customHeight="1">
      <c r="A36" s="366" t="str">
        <v>فهرست پروچاسکاا.pdf</v>
      </c>
      <c r="B36" s="367" t="n">
        <v>4</v>
      </c>
      <c r="C36" s="367" t="str">
        <v>نظریه‌های روان‌درمانی پروچاسکا</v>
      </c>
      <c r="D36" s="367" t="str">
        <v>4</v>
      </c>
      <c r="E36" s="367" t="str">
        <v>درمان‌های وجودی</v>
      </c>
      <c r="F36" s="367" t="n">
        <v>147</v>
      </c>
      <c r="G36" s="367" t="n">
        <v>200</v>
      </c>
      <c r="H36" s="367" t="str">
        <v>استنتاج‌شده از شروع فصل بعدی</v>
      </c>
      <c r="I36" s="367" t="str">
        <v>بالا</v>
      </c>
      <c r="J36" s="367" t="str">
        <v>تأیید بصری</v>
      </c>
      <c r="K36" s="367"/>
      <c r="L36" s="367"/>
      <c r="M36" s="368"/>
    </row>
    <row r="37" ht="26" customHeight="1">
      <c r="A37" s="345" t="str">
        <v>فهرست پروچاسکاا.pdf</v>
      </c>
      <c r="B37" s="346" t="n">
        <v>5</v>
      </c>
      <c r="C37" s="346" t="str">
        <v>نظریه‌های روان‌درمانی پروچاسکا</v>
      </c>
      <c r="D37" s="346" t="str">
        <v>5</v>
      </c>
      <c r="E37" s="346" t="str">
        <v>درمان‌های فردمدار</v>
      </c>
      <c r="F37" s="346" t="n">
        <v>201</v>
      </c>
      <c r="G37" s="346" t="n">
        <v>248</v>
      </c>
      <c r="H37" s="346" t="str">
        <v>استنتاج‌شده از شروع فصل بعدی</v>
      </c>
      <c r="I37" s="346" t="str">
        <v>بالا</v>
      </c>
      <c r="J37" s="346" t="str">
        <v>تأیید بصری</v>
      </c>
      <c r="K37" s="346"/>
      <c r="L37" s="346"/>
      <c r="M37" s="347"/>
    </row>
    <row r="38" ht="26" customHeight="1">
      <c r="A38" s="366" t="str">
        <v>فهرست پروچاسکاا.pdf</v>
      </c>
      <c r="B38" s="367" t="n">
        <v>6</v>
      </c>
      <c r="C38" s="367" t="str">
        <v>نظریه‌های روان‌درمانی پروچاسکا</v>
      </c>
      <c r="D38" s="367" t="str">
        <v>6</v>
      </c>
      <c r="E38" s="367" t="str">
        <v>درمان‌های تجربی</v>
      </c>
      <c r="F38" s="367" t="n">
        <v>249</v>
      </c>
      <c r="G38" s="367" t="n">
        <v>300</v>
      </c>
      <c r="H38" s="367" t="str">
        <v>استنتاج‌شده از شروع فصل بعدی</v>
      </c>
      <c r="I38" s="367" t="str">
        <v>بالا</v>
      </c>
      <c r="J38" s="367" t="str">
        <v>تأیید بصری</v>
      </c>
      <c r="K38" s="367"/>
      <c r="L38" s="367"/>
      <c r="M38" s="368"/>
    </row>
    <row r="39" ht="26" customHeight="1">
      <c r="A39" s="345" t="str">
        <v>فهرست پروچاسکاا.pdf</v>
      </c>
      <c r="B39" s="346" t="n">
        <v>8</v>
      </c>
      <c r="C39" s="346" t="str">
        <v>نظریه‌های روان‌درمانی پروچاسکا</v>
      </c>
      <c r="D39" s="346" t="str">
        <v>7</v>
      </c>
      <c r="E39" s="346" t="str">
        <v>درمان‌های بین‌فردی</v>
      </c>
      <c r="F39" s="346" t="n">
        <v>301</v>
      </c>
      <c r="G39" s="346" t="n">
        <v>338</v>
      </c>
      <c r="H39" s="346" t="str">
        <v>استنتاج‌شده از شروع فصل بعدی</v>
      </c>
      <c r="I39" s="346" t="str">
        <v>بالا</v>
      </c>
      <c r="J39" s="346" t="str">
        <v>تأیید بصری</v>
      </c>
      <c r="K39" s="346"/>
      <c r="L39" s="346"/>
      <c r="M39" s="347"/>
    </row>
    <row r="40" ht="26" customHeight="1">
      <c r="A40" s="366" t="str">
        <v>فهرست پروچاسکاا.pdf</v>
      </c>
      <c r="B40" s="367" t="n">
        <v>9</v>
      </c>
      <c r="C40" s="367" t="str">
        <v>نظریه‌های روان‌درمانی پروچاسکا</v>
      </c>
      <c r="D40" s="367" t="str">
        <v>8</v>
      </c>
      <c r="E40" s="367" t="str">
        <v>درمان‌های مواجهه‌سازی</v>
      </c>
      <c r="F40" s="367" t="n">
        <v>339</v>
      </c>
      <c r="G40" s="367" t="n">
        <v>380</v>
      </c>
      <c r="H40" s="367" t="str">
        <v>استنتاج‌شده از شروع فصل بعدی</v>
      </c>
      <c r="I40" s="367" t="str">
        <v>بالا</v>
      </c>
      <c r="J40" s="367" t="str">
        <v>تأیید بصری</v>
      </c>
      <c r="K40" s="367"/>
      <c r="L40" s="367"/>
      <c r="M40" s="368"/>
    </row>
    <row r="41" ht="26" customHeight="1">
      <c r="A41" s="345" t="str">
        <v>فهرست پروچاسکاا.pdf</v>
      </c>
      <c r="B41" s="346" t="n">
        <v>10</v>
      </c>
      <c r="C41" s="346" t="str">
        <v>نظریه‌های روان‌درمانی پروچاسکا</v>
      </c>
      <c r="D41" s="346" t="str">
        <v>9</v>
      </c>
      <c r="E41" s="346" t="str">
        <v>درمان‌های رفتاری</v>
      </c>
      <c r="F41" s="346" t="n">
        <v>381</v>
      </c>
      <c r="G41" s="346" t="n">
        <v>456</v>
      </c>
      <c r="H41" s="346" t="str">
        <v>استنتاج‌شده از شروع فصل بعدی</v>
      </c>
      <c r="I41" s="346" t="str">
        <v>بالا</v>
      </c>
      <c r="J41" s="346" t="str">
        <v>تأیید بصری</v>
      </c>
      <c r="K41" s="346"/>
      <c r="L41" s="346"/>
      <c r="M41" s="347"/>
    </row>
    <row r="42" ht="26" customHeight="1">
      <c r="A42" s="366" t="str">
        <v>فهرست پروچاسکاا.pdf</v>
      </c>
      <c r="B42" s="367" t="n">
        <v>11</v>
      </c>
      <c r="C42" s="367" t="str">
        <v>نظریه‌های روان‌درمانی پروچاسکا</v>
      </c>
      <c r="D42" s="367" t="str">
        <v>10</v>
      </c>
      <c r="E42" s="367" t="str">
        <v>درمان‌های شناختی</v>
      </c>
      <c r="F42" s="367" t="n">
        <v>457</v>
      </c>
      <c r="G42" s="367" t="n">
        <v>522</v>
      </c>
      <c r="H42" s="367" t="str">
        <v>استنتاج‌شده از شروع فصل بعدی</v>
      </c>
      <c r="I42" s="367" t="str">
        <v>بالا</v>
      </c>
      <c r="J42" s="367" t="str">
        <v>تأیید بصری</v>
      </c>
      <c r="K42" s="367"/>
      <c r="L42" s="367"/>
      <c r="M42" s="368"/>
    </row>
    <row r="43" ht="26" customHeight="1">
      <c r="A43" s="345" t="str">
        <v>فهرست پروچاسکاا.pdf</v>
      </c>
      <c r="B43" s="346" t="n">
        <v>13</v>
      </c>
      <c r="C43" s="346" t="str">
        <v>نظریه‌های روان‌درمانی پروچاسکا</v>
      </c>
      <c r="D43" s="346" t="str">
        <v>11</v>
      </c>
      <c r="E43" s="346" t="str">
        <v>درمان‌های موج سوم</v>
      </c>
      <c r="F43" s="346" t="n">
        <v>523</v>
      </c>
      <c r="G43" s="346" t="n">
        <v>558</v>
      </c>
      <c r="H43" s="346" t="str">
        <v>استنتاج‌شده از شروع فصل بعدی</v>
      </c>
      <c r="I43" s="346" t="str">
        <v>بالا</v>
      </c>
      <c r="J43" s="346" t="str">
        <v>تأیید بصری</v>
      </c>
      <c r="K43" s="346"/>
      <c r="L43" s="346"/>
      <c r="M43" s="347"/>
    </row>
    <row r="44" ht="26" customHeight="1">
      <c r="A44" s="366" t="str">
        <v>فهرست پروچاسکاا.pdf</v>
      </c>
      <c r="B44" s="367" t="n">
        <v>14</v>
      </c>
      <c r="C44" s="367" t="str">
        <v>نظریه‌های روان‌درمانی پروچاسکا</v>
      </c>
      <c r="D44" s="367" t="str">
        <v>12</v>
      </c>
      <c r="E44" s="367" t="str">
        <v>درمان‌های سیستمی</v>
      </c>
      <c r="F44" s="367" t="n">
        <v>559</v>
      </c>
      <c r="G44" s="367" t="n">
        <v>622</v>
      </c>
      <c r="H44" s="367" t="str">
        <v>استنتاج‌شده از شروع فصل بعدی</v>
      </c>
      <c r="I44" s="367" t="str">
        <v>بالا</v>
      </c>
      <c r="J44" s="367" t="str">
        <v>تأیید بصری</v>
      </c>
      <c r="K44" s="367"/>
      <c r="L44" s="367"/>
      <c r="M44" s="368"/>
    </row>
    <row r="45" ht="26" customHeight="1">
      <c r="A45" s="345" t="str">
        <v>فهرست پروچاسکاا.pdf</v>
      </c>
      <c r="B45" s="346" t="n">
        <v>16</v>
      </c>
      <c r="C45" s="346" t="str">
        <v>نظریه‌های روان‌درمانی پروچاسکا</v>
      </c>
      <c r="D45" s="346" t="str">
        <v>13</v>
      </c>
      <c r="E45" s="346" t="str">
        <v>درمان‌های حساس به جنسیت</v>
      </c>
      <c r="F45" s="346" t="n">
        <v>623</v>
      </c>
      <c r="G45" s="346" t="n">
        <v>662</v>
      </c>
      <c r="H45" s="346" t="str">
        <v>استنتاج‌شده از شروع فصل بعدی</v>
      </c>
      <c r="I45" s="346" t="str">
        <v>بالا</v>
      </c>
      <c r="J45" s="346" t="str">
        <v>تأیید بصری</v>
      </c>
      <c r="K45" s="346"/>
      <c r="L45" s="346"/>
      <c r="M45" s="347"/>
    </row>
    <row r="46" ht="26" customHeight="1">
      <c r="A46" s="366" t="str">
        <v>فهرست پروچاسکاا.pdf</v>
      </c>
      <c r="B46" s="367" t="n">
        <v>17</v>
      </c>
      <c r="C46" s="367" t="str">
        <v>نظریه‌های روان‌درمانی پروچاسکا</v>
      </c>
      <c r="D46" s="367" t="str">
        <v>14</v>
      </c>
      <c r="E46" s="367" t="str">
        <v>درمان‌های چندفرهنگی</v>
      </c>
      <c r="F46" s="367" t="n">
        <v>663</v>
      </c>
      <c r="G46" s="367" t="n">
        <v>706</v>
      </c>
      <c r="H46" s="367" t="str">
        <v>استنتاج‌شده از شروع فصل بعدی</v>
      </c>
      <c r="I46" s="367" t="str">
        <v>بالا</v>
      </c>
      <c r="J46" s="367" t="str">
        <v>تأیید بصری</v>
      </c>
      <c r="K46" s="367"/>
      <c r="L46" s="367"/>
      <c r="M46" s="368"/>
    </row>
    <row r="47" ht="26" customHeight="1">
      <c r="A47" s="345" t="str">
        <v>فهرست پروچاسکاا.pdf</v>
      </c>
      <c r="B47" s="346" t="n">
        <v>18</v>
      </c>
      <c r="C47" s="346" t="str">
        <v>نظریه‌های روان‌درمانی پروچاسکا</v>
      </c>
      <c r="D47" s="346" t="str">
        <v>15</v>
      </c>
      <c r="E47" s="346" t="str">
        <v>درمان‌های سازه‌نگر: درمان متمرکز بر راه‌حل و قصه‌درمانی</v>
      </c>
      <c r="F47" s="346" t="n">
        <v>707</v>
      </c>
      <c r="G47" s="346" t="n">
        <v>742</v>
      </c>
      <c r="H47" s="346" t="str">
        <v>استنتاج‌شده از شروع فصل بعدی</v>
      </c>
      <c r="I47" s="346" t="str">
        <v>بالا</v>
      </c>
      <c r="J47" s="346" t="str">
        <v>تأیید بصری</v>
      </c>
      <c r="K47" s="346"/>
      <c r="L47" s="346"/>
      <c r="M47" s="347"/>
    </row>
    <row r="48" ht="26" customHeight="1">
      <c r="A48" s="366" t="str">
        <v>فهرست پروچاسکاا.pdf</v>
      </c>
      <c r="B48" s="367" t="n">
        <v>19</v>
      </c>
      <c r="C48" s="367" t="str">
        <v>نظریه‌های روان‌درمانی پروچاسکا</v>
      </c>
      <c r="D48" s="367" t="str">
        <v>16</v>
      </c>
      <c r="E48" s="367" t="str">
        <v>درمان‌های یکپارچه‌نگر</v>
      </c>
      <c r="F48" s="367" t="n">
        <v>743</v>
      </c>
      <c r="G48" s="367" t="n">
        <v>788</v>
      </c>
      <c r="H48" s="367" t="str">
        <v>استنتاج‌شده از شروع فصل بعدی</v>
      </c>
      <c r="I48" s="367" t="str">
        <v>بالا</v>
      </c>
      <c r="J48" s="367" t="str">
        <v>تأیید بصری</v>
      </c>
      <c r="K48" s="367"/>
      <c r="L48" s="367"/>
      <c r="M48" s="368"/>
    </row>
    <row r="49" ht="26" customHeight="1">
      <c r="A49" s="345" t="str">
        <v>فهرست پروچاسکاا.pdf</v>
      </c>
      <c r="B49" s="346" t="n">
        <v>20</v>
      </c>
      <c r="C49" s="346" t="str">
        <v>نظریه‌های روان‌درمانی پروچاسکا</v>
      </c>
      <c r="D49" s="346" t="str">
        <v>17</v>
      </c>
      <c r="E49" s="346" t="str">
        <v>نتیجه‌گیری‌های مقایسه‌ای: به‌سوی درمان بین‌نظری</v>
      </c>
      <c r="F49" s="346" t="n">
        <v>789</v>
      </c>
      <c r="G49" s="346" t="n">
        <v>834</v>
      </c>
      <c r="H49" s="346" t="str">
        <v>استنتاج‌شده از شروع فصل بعدی</v>
      </c>
      <c r="I49" s="346" t="str">
        <v>بالا</v>
      </c>
      <c r="J49" s="346" t="str">
        <v>تأیید بصری</v>
      </c>
      <c r="K49" s="346"/>
      <c r="L49" s="346"/>
      <c r="M49" s="347"/>
    </row>
    <row r="50" ht="26" customHeight="1">
      <c r="A50" s="366" t="str">
        <v>فهرست پروچاسکاا.pdf</v>
      </c>
      <c r="B50" s="367" t="n">
        <v>21</v>
      </c>
      <c r="C50" s="367" t="str">
        <v>نظریه‌های روان‌درمانی پروچاسکا</v>
      </c>
      <c r="D50" s="367" t="str">
        <v>18</v>
      </c>
      <c r="E50" s="367" t="str">
        <v>آینده روان‌درمانی</v>
      </c>
      <c r="F50" s="367" t="n">
        <v>835</v>
      </c>
      <c r="G50" s="367" t="n">
        <v>860</v>
      </c>
      <c r="H50" s="367" t="str">
        <v>پایان موردنیازِ اعلام‌شده توسط کاربر</v>
      </c>
      <c r="I50" s="367" t="str">
        <v>بالا</v>
      </c>
      <c r="J50" s="367" t="str">
        <v>تأیید بصری</v>
      </c>
      <c r="K50" s="367"/>
      <c r="L50" s="367"/>
      <c r="M50" s="368"/>
    </row>
    <row r="51" ht="26" customHeight="1">
      <c r="A51" s="345" t="str">
        <v>فهرست رشد کرین(1).pdf</v>
      </c>
      <c r="B51" s="346" t="n">
        <v>1</v>
      </c>
      <c r="C51" s="346" t="str">
        <v>روان‌شناسی رشد کرین</v>
      </c>
      <c r="D51" s="346" t="str">
        <v>1</v>
      </c>
      <c r="E51" s="346" t="str">
        <v>نخستین نظریه‌ها: مکتب پیش‌ساخت‌گرایی، لاک و روسو</v>
      </c>
      <c r="F51" s="346" t="n">
        <v>27</v>
      </c>
      <c r="G51" s="346" t="n">
        <v>54</v>
      </c>
      <c r="H51" s="346" t="str">
        <v>استنتاج‌شده از شروع فصل بعدی</v>
      </c>
      <c r="I51" s="346" t="str">
        <v>بالا</v>
      </c>
      <c r="J51" s="346" t="str">
        <v>تأیید بصری</v>
      </c>
      <c r="K51" s="346"/>
      <c r="L51" s="346"/>
      <c r="M51" s="347"/>
    </row>
    <row r="52" ht="26" customHeight="1">
      <c r="A52" s="366" t="str">
        <v>فهرست رشد کرین(1).pdf</v>
      </c>
      <c r="B52" s="367" t="n">
        <v>1</v>
      </c>
      <c r="C52" s="367" t="str">
        <v>روان‌شناسی رشد کرین</v>
      </c>
      <c r="D52" s="367" t="str">
        <v>2</v>
      </c>
      <c r="E52" s="367" t="str">
        <v>نظریه رسشی گزل</v>
      </c>
      <c r="F52" s="367" t="n">
        <v>55</v>
      </c>
      <c r="G52" s="367" t="n">
        <v>72</v>
      </c>
      <c r="H52" s="367" t="str">
        <v>استنتاج‌شده از شروع فصل بعدی</v>
      </c>
      <c r="I52" s="367" t="str">
        <v>بالا</v>
      </c>
      <c r="J52" s="367" t="str">
        <v>تأیید بصری</v>
      </c>
      <c r="K52" s="367"/>
      <c r="L52" s="367"/>
      <c r="M52" s="368"/>
    </row>
    <row r="53" ht="26" customHeight="1">
      <c r="A53" s="345" t="str">
        <v>فهرست رشد کرین(1).pdf</v>
      </c>
      <c r="B53" s="346" t="n">
        <v>3</v>
      </c>
      <c r="C53" s="346" t="str">
        <v>روان‌شناسی رشد کرین</v>
      </c>
      <c r="D53" s="346" t="str">
        <v>3</v>
      </c>
      <c r="E53" s="346" t="str">
        <v>نظریه‌های کردارشناختی: داروین، لورنز و تینبرگن؛ و بالبی و اینزورث</v>
      </c>
      <c r="F53" s="346" t="n">
        <v>73</v>
      </c>
      <c r="G53" s="346" t="n">
        <v>124</v>
      </c>
      <c r="H53" s="346" t="str">
        <v>استنتاج‌شده از شروع فصل بعدی</v>
      </c>
      <c r="I53" s="346" t="str">
        <v>بالا</v>
      </c>
      <c r="J53" s="346" t="str">
        <v>تأیید بصری</v>
      </c>
      <c r="K53" s="346"/>
      <c r="L53" s="346"/>
      <c r="M53" s="347"/>
    </row>
    <row r="54" ht="26" customHeight="1">
      <c r="A54" s="366" t="str">
        <v>فهرست رشد کرین(1).pdf</v>
      </c>
      <c r="B54" s="367" t="n">
        <v>2</v>
      </c>
      <c r="C54" s="367" t="str">
        <v>روان‌شناسی رشد کرین</v>
      </c>
      <c r="D54" s="367" t="str">
        <v>4</v>
      </c>
      <c r="E54" s="367" t="str">
        <v>فلسفه تربیتی مونتسوری</v>
      </c>
      <c r="F54" s="367" t="n">
        <v>125</v>
      </c>
      <c r="G54" s="367" t="n">
        <v>154</v>
      </c>
      <c r="H54" s="367" t="str">
        <v>استنتاج‌شده از شروع فصل بعدی</v>
      </c>
      <c r="I54" s="367" t="str">
        <v>بالا</v>
      </c>
      <c r="J54" s="367" t="str">
        <v>تأیید بصری</v>
      </c>
      <c r="K54" s="367"/>
      <c r="L54" s="367"/>
      <c r="M54" s="368"/>
    </row>
    <row r="55" ht="26" customHeight="1">
      <c r="A55" s="345" t="str">
        <v>فهرست رشد کرین(1).pdf</v>
      </c>
      <c r="B55" s="346" t="n">
        <v>2</v>
      </c>
      <c r="C55" s="346" t="str">
        <v>روان‌شناسی رشد کرین</v>
      </c>
      <c r="D55" s="346" t="str">
        <v>5</v>
      </c>
      <c r="E55" s="346" t="str">
        <v>نظریه ارگانیسمی و تطبیقی ورنر</v>
      </c>
      <c r="F55" s="346" t="n">
        <v>155</v>
      </c>
      <c r="G55" s="346" t="n">
        <v>190</v>
      </c>
      <c r="H55" s="346" t="str">
        <v>استنتاج‌شده از شروع فصل بعدی</v>
      </c>
      <c r="I55" s="346" t="str">
        <v>بالا</v>
      </c>
      <c r="J55" s="346" t="str">
        <v>تأیید بصری</v>
      </c>
      <c r="K55" s="346"/>
      <c r="L55" s="346"/>
      <c r="M55" s="347"/>
    </row>
    <row r="56" ht="26" customHeight="1">
      <c r="A56" s="366" t="str">
        <v>فهرست رشد کرین(1).pdf</v>
      </c>
      <c r="B56" s="367" t="n">
        <v>5</v>
      </c>
      <c r="C56" s="367" t="str">
        <v>روان‌شناسی رشد کرین</v>
      </c>
      <c r="D56" s="367" t="str">
        <v>6</v>
      </c>
      <c r="E56" s="367" t="str">
        <v>نظریه رشدی ـ شناختی پیاژه</v>
      </c>
      <c r="F56" s="367" t="n">
        <v>191</v>
      </c>
      <c r="G56" s="367" t="n">
        <v>246</v>
      </c>
      <c r="H56" s="367" t="str">
        <v>استنتاج‌شده از شروع فصل بعدی</v>
      </c>
      <c r="I56" s="367" t="str">
        <v>بالا</v>
      </c>
      <c r="J56" s="367" t="str">
        <v>تأیید بصری</v>
      </c>
      <c r="K56" s="367"/>
      <c r="L56" s="367"/>
      <c r="M56" s="368"/>
    </row>
    <row r="57" ht="26" customHeight="1">
      <c r="A57" s="345" t="str">
        <v>فهرست رشد کرین(1).pdf</v>
      </c>
      <c r="B57" s="346" t="n">
        <v>4</v>
      </c>
      <c r="C57" s="346" t="str">
        <v>روان‌شناسی رشد کرین</v>
      </c>
      <c r="D57" s="346" t="str">
        <v>7</v>
      </c>
      <c r="E57" s="346" t="str">
        <v>مراحل رشد اخلاقی کلبرگ</v>
      </c>
      <c r="F57" s="346" t="n">
        <v>247</v>
      </c>
      <c r="G57" s="346" t="n">
        <v>282</v>
      </c>
      <c r="H57" s="346" t="str">
        <v>استنتاج‌شده از شروع فصل بعدی</v>
      </c>
      <c r="I57" s="346" t="str">
        <v>بالا</v>
      </c>
      <c r="J57" s="346" t="str">
        <v>تأیید بصری</v>
      </c>
      <c r="K57" s="346"/>
      <c r="L57" s="346"/>
      <c r="M57" s="347"/>
    </row>
    <row r="58" ht="26" customHeight="1">
      <c r="A58" s="366" t="str">
        <v>فهرست رشد کرین(1).pdf</v>
      </c>
      <c r="B58" s="367" t="n">
        <v>7</v>
      </c>
      <c r="C58" s="367" t="str">
        <v>روان‌شناسی رشد کرین</v>
      </c>
      <c r="D58" s="367" t="str">
        <v>8</v>
      </c>
      <c r="E58" s="367" t="str">
        <v>نظریه یادگیری پاولف، واتسون و اسکینر</v>
      </c>
      <c r="F58" s="367" t="n">
        <v>283</v>
      </c>
      <c r="G58" s="367" t="n">
        <v>318</v>
      </c>
      <c r="H58" s="367" t="str">
        <v>استنتاج‌شده از شروع فصل بعدی</v>
      </c>
      <c r="I58" s="367" t="str">
        <v>بالا</v>
      </c>
      <c r="J58" s="367" t="str">
        <v>تأیید بصری</v>
      </c>
      <c r="K58" s="367"/>
      <c r="L58" s="367"/>
      <c r="M58" s="368"/>
    </row>
    <row r="59" ht="26" customHeight="1">
      <c r="A59" s="345" t="str">
        <v>فهرست رشد کرین(1).pdf</v>
      </c>
      <c r="B59" s="346" t="n">
        <v>7</v>
      </c>
      <c r="C59" s="346" t="str">
        <v>روان‌شناسی رشد کرین</v>
      </c>
      <c r="D59" s="346" t="str">
        <v>9</v>
      </c>
      <c r="E59" s="346" t="str">
        <v>نظریه یادگیری اجتماعی بندورا</v>
      </c>
      <c r="F59" s="346" t="n">
        <v>319</v>
      </c>
      <c r="G59" s="346" t="n">
        <v>350</v>
      </c>
      <c r="H59" s="346" t="str">
        <v>استنتاج‌شده از شروع فصل بعدی</v>
      </c>
      <c r="I59" s="346" t="str">
        <v>بالا</v>
      </c>
      <c r="J59" s="346" t="str">
        <v>تأیید بصری</v>
      </c>
      <c r="K59" s="346"/>
      <c r="L59" s="346"/>
      <c r="M59" s="347"/>
    </row>
    <row r="60" ht="26" customHeight="1">
      <c r="A60" s="366" t="str">
        <v>فهرست رشد کرین(1).pdf</v>
      </c>
      <c r="B60" s="367" t="n">
        <v>6</v>
      </c>
      <c r="C60" s="367" t="str">
        <v>روان‌شناسی رشد کرین</v>
      </c>
      <c r="D60" s="367" t="str">
        <v>10</v>
      </c>
      <c r="E60" s="367" t="str">
        <v>نظریه تاریخی ـ اجتماعی ویگوتسکی در زمینه رشد شناختی</v>
      </c>
      <c r="F60" s="367" t="n">
        <v>351</v>
      </c>
      <c r="G60" s="367" t="n">
        <v>396</v>
      </c>
      <c r="H60" s="367" t="str">
        <v>استنتاج‌شده از شروع فصل بعدی</v>
      </c>
      <c r="I60" s="367" t="str">
        <v>بالا</v>
      </c>
      <c r="J60" s="367" t="str">
        <v>تأیید بصری</v>
      </c>
      <c r="K60" s="367"/>
      <c r="L60" s="367"/>
      <c r="M60" s="368"/>
    </row>
    <row r="61" ht="26" customHeight="1">
      <c r="A61" s="345" t="str">
        <v>فهرست رشد کرین(1).pdf</v>
      </c>
      <c r="B61" s="346" t="n">
        <v>6</v>
      </c>
      <c r="C61" s="346" t="str">
        <v>روان‌شناسی رشد کرین</v>
      </c>
      <c r="D61" s="346" t="str">
        <v>11</v>
      </c>
      <c r="E61" s="346" t="str">
        <v>نظریه روان‌تحلیلی فروید</v>
      </c>
      <c r="F61" s="346" t="n">
        <v>397</v>
      </c>
      <c r="G61" s="346" t="n">
        <v>440</v>
      </c>
      <c r="H61" s="346" t="str">
        <v>استنتاج‌شده از شروع فصل بعدی</v>
      </c>
      <c r="I61" s="346" t="str">
        <v>بالا</v>
      </c>
      <c r="J61" s="346" t="str">
        <v>تأیید بصری</v>
      </c>
      <c r="K61" s="346"/>
      <c r="L61" s="346"/>
      <c r="M61" s="347"/>
    </row>
    <row r="62" ht="26" customHeight="1">
      <c r="A62" s="366" t="str">
        <v>فهرست رشد کرین(1).pdf</v>
      </c>
      <c r="B62" s="367" t="n">
        <v>9</v>
      </c>
      <c r="C62" s="367" t="str">
        <v>روان‌شناسی رشد کرین</v>
      </c>
      <c r="D62" s="367" t="str">
        <v>12</v>
      </c>
      <c r="E62" s="367" t="str">
        <v>اریکسون و هشت مرحله زندگی</v>
      </c>
      <c r="F62" s="367" t="n">
        <v>441</v>
      </c>
      <c r="G62" s="367" t="n">
        <v>480</v>
      </c>
      <c r="H62" s="367" t="str">
        <v>استنتاج‌شده از شروع فصل بعدی</v>
      </c>
      <c r="I62" s="367" t="str">
        <v>بالا</v>
      </c>
      <c r="J62" s="367" t="str">
        <v>تأیید بصری</v>
      </c>
      <c r="K62" s="367"/>
      <c r="L62" s="367"/>
      <c r="M62" s="368"/>
    </row>
    <row r="63" ht="26" customHeight="1">
      <c r="A63" s="345" t="str">
        <v>فهرست رشد کرین(1).pdf</v>
      </c>
      <c r="B63" s="346" t="n">
        <v>8</v>
      </c>
      <c r="C63" s="346" t="str">
        <v>روان‌شناسی رشد کرین</v>
      </c>
      <c r="D63" s="346" t="str">
        <v>13</v>
      </c>
      <c r="E63" s="346" t="str">
        <v>نظریه تفرد/جدایی ماهلر</v>
      </c>
      <c r="F63" s="346" t="n">
        <v>481</v>
      </c>
      <c r="G63" s="346" t="n">
        <v>502</v>
      </c>
      <c r="H63" s="346" t="str">
        <v>استنتاج‌شده از شروع فصل بعدی</v>
      </c>
      <c r="I63" s="346" t="str">
        <v>بالا</v>
      </c>
      <c r="J63" s="346" t="str">
        <v>تأیید بصری</v>
      </c>
      <c r="K63" s="346"/>
      <c r="L63" s="346"/>
      <c r="M63" s="347"/>
    </row>
    <row r="64" ht="26" customHeight="1">
      <c r="A64" s="366" t="str">
        <v>فهرست رشد کرین(1).pdf</v>
      </c>
      <c r="B64" s="367" t="n">
        <v>8</v>
      </c>
      <c r="C64" s="367" t="str">
        <v>روان‌شناسی رشد کرین</v>
      </c>
      <c r="D64" s="367" t="str">
        <v>14</v>
      </c>
      <c r="E64" s="367" t="str">
        <v>مطالعه‌ای موردی در درمان روان‌تحلیلی: مطالعه بتلهایم درباره درخودماندگی (اوتیسم)</v>
      </c>
      <c r="F64" s="367" t="n">
        <v>503</v>
      </c>
      <c r="G64" s="367" t="n">
        <v>516</v>
      </c>
      <c r="H64" s="367" t="str">
        <v>استنتاج‌شده از شروع فصل بعدی</v>
      </c>
      <c r="I64" s="367" t="str">
        <v>بالا</v>
      </c>
      <c r="J64" s="367" t="str">
        <v>تأیید بصری</v>
      </c>
      <c r="K64" s="367"/>
      <c r="L64" s="367"/>
      <c r="M64" s="368"/>
    </row>
    <row r="65" ht="26" customHeight="1">
      <c r="A65" s="345" t="str">
        <v>فهرست رشد کرین(1).pdf</v>
      </c>
      <c r="B65" s="346" t="n">
        <v>8</v>
      </c>
      <c r="C65" s="346" t="str">
        <v>روان‌شناسی رشد کرین</v>
      </c>
      <c r="D65" s="346" t="str">
        <v>15</v>
      </c>
      <c r="E65" s="346" t="str">
        <v>ساختار و تجربه‌های دوران کودکی</v>
      </c>
      <c r="F65" s="346" t="n">
        <v>517</v>
      </c>
      <c r="G65" s="346" t="n">
        <v>530</v>
      </c>
      <c r="H65" s="346" t="str">
        <v>استنتاج‌شده از شروع فصل بعدی</v>
      </c>
      <c r="I65" s="346" t="str">
        <v>بالا</v>
      </c>
      <c r="J65" s="346" t="str">
        <v>تأیید بصری</v>
      </c>
      <c r="K65" s="346"/>
      <c r="L65" s="346"/>
      <c r="M65" s="347"/>
    </row>
    <row r="66" ht="26" customHeight="1">
      <c r="A66" s="366" t="str">
        <v>فهرست رشد کرین(1).pdf</v>
      </c>
      <c r="B66" s="367" t="n">
        <v>11</v>
      </c>
      <c r="C66" s="367" t="str">
        <v>روان‌شناسی رشد کرین</v>
      </c>
      <c r="D66" s="367" t="str">
        <v>16</v>
      </c>
      <c r="E66" s="367" t="str">
        <v>نظریه یونگ درباره دوران بزرگسالی</v>
      </c>
      <c r="F66" s="367" t="n">
        <v>531</v>
      </c>
      <c r="G66" s="367" t="n">
        <v>550</v>
      </c>
      <c r="H66" s="367" t="str">
        <v>استنتاج‌شده از شروع فصل بعدی</v>
      </c>
      <c r="I66" s="367" t="str">
        <v>بالا</v>
      </c>
      <c r="J66" s="367" t="str">
        <v>تأیید بصری</v>
      </c>
      <c r="K66" s="367"/>
      <c r="L66" s="367"/>
      <c r="M66" s="368"/>
    </row>
    <row r="67" ht="26" customHeight="1">
      <c r="A67" s="345" t="str">
        <v>فهرست رشد کرین(1).pdf</v>
      </c>
      <c r="B67" s="346" t="n">
        <v>11</v>
      </c>
      <c r="C67" s="346" t="str">
        <v>روان‌شناسی رشد کرین</v>
      </c>
      <c r="D67" s="346" t="str">
        <v>17</v>
      </c>
      <c r="E67" s="346" t="str">
        <v>نظریه رشد زبان چامسکی</v>
      </c>
      <c r="F67" s="346" t="n">
        <v>551</v>
      </c>
      <c r="G67" s="346" t="n">
        <v>584</v>
      </c>
      <c r="H67" s="346" t="str">
        <v>استنتاج‌شده از شروع فصل بعدی</v>
      </c>
      <c r="I67" s="346" t="str">
        <v>بالا</v>
      </c>
      <c r="J67" s="346" t="str">
        <v>تأیید بصری</v>
      </c>
      <c r="K67" s="346"/>
      <c r="L67" s="346"/>
      <c r="M67" s="347"/>
    </row>
    <row r="68" ht="26" customHeight="1">
      <c r="A68" s="366" t="str">
        <v>فهرست رشد کرین(1).pdf</v>
      </c>
      <c r="B68" s="367" t="n">
        <v>10</v>
      </c>
      <c r="C68" s="367" t="str">
        <v>روان‌شناسی رشد کرین</v>
      </c>
      <c r="D68" s="367" t="str">
        <v>18</v>
      </c>
      <c r="E68" s="367" t="str">
        <v>نتیجه‌گیری</v>
      </c>
      <c r="F68" s="367" t="n">
        <v>585</v>
      </c>
      <c r="G68" s="367" t="str">
        <v>نامشخص</v>
      </c>
      <c r="H68" s="367" t="str">
        <v>نامشخص؛ خارج از دامنهٔ برنامه</v>
      </c>
      <c r="I68" s="367" t="str">
        <v>بالا</v>
      </c>
      <c r="J68" s="367" t="str">
        <v>تأیید بصری</v>
      </c>
      <c r="K68" s="367" t="str">
        <v>شروع فصل روشن است؛ خارج از دامنه صریح ۲۷ تا ۵۸۰</v>
      </c>
      <c r="L68" s="367"/>
      <c r="M68" s="368"/>
    </row>
    <row r="69" ht="26" customHeight="1">
      <c r="A69" s="345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7"/>
    </row>
    <row r="70" ht="26" customHeight="1">
      <c r="A70" s="366"/>
      <c r="B70" s="367"/>
      <c r="C70" s="367"/>
      <c r="D70" s="367"/>
      <c r="E70" s="367"/>
      <c r="F70" s="367"/>
      <c r="G70" s="367"/>
      <c r="H70" s="367"/>
      <c r="I70" s="367"/>
      <c r="J70" s="367"/>
      <c r="K70" s="367"/>
      <c r="L70" s="367"/>
      <c r="M70" s="368"/>
    </row>
    <row r="71" ht="26" customHeight="1">
      <c r="A71" s="660" t="str">
        <v>بخش ج — فرضیات اجرایی</v>
      </c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2"/>
    </row>
    <row r="72" ht="26" customHeight="1">
      <c r="A72" s="366" t="str">
        <v>سرعت مطالعه</v>
      </c>
      <c r="B72" s="367" t="str">
        <v>سرعت واقعی اعلام نشده؛ سرعت لازم محاسبه و با برچسب «نیازمند تأیید سرعت مطالعه» ثبت شد.</v>
      </c>
      <c r="C72" s="367"/>
      <c r="D72" s="367"/>
      <c r="E72" s="367"/>
      <c r="F72" s="367"/>
      <c r="G72" s="367"/>
      <c r="H72" s="367"/>
      <c r="I72" s="367"/>
      <c r="J72" s="367"/>
      <c r="K72" s="367"/>
      <c r="L72" s="367"/>
      <c r="M72" s="368"/>
    </row>
    <row r="73" ht="26" customHeight="1">
      <c r="A73" s="345" t="str">
        <v>سرعت تست</v>
      </c>
      <c r="B73" s="346" t="str">
        <v>هر سؤال مفهومی همراه تحلیل کامل به‌طور میانگین ۴ دقیقه؛ نسبت کل با گردکردن بلوکی حفظ شده است.</v>
      </c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7"/>
    </row>
    <row r="74" ht="26" customHeight="1">
      <c r="A74" s="366" t="str">
        <v>آزمونک خودساخته</v>
      </c>
      <c r="B74" s="367" t="str">
        <v>فاقد بانک تست مشخص؛ آزمونک بازیابی خودساخته</v>
      </c>
      <c r="C74" s="367"/>
      <c r="D74" s="367"/>
      <c r="E74" s="367"/>
      <c r="F74" s="367"/>
      <c r="G74" s="367"/>
      <c r="H74" s="367"/>
      <c r="I74" s="367"/>
      <c r="J74" s="367"/>
      <c r="K74" s="367"/>
      <c r="L74" s="367"/>
      <c r="M74" s="368"/>
    </row>
    <row r="75" ht="26" customHeight="1">
      <c r="A75" s="345" t="str">
        <v>مرور</v>
      </c>
      <c r="B75" s="346" t="str">
        <v>مرور بازیابی‌محور تطبیقی با D+1، D+3، D+7، D+14 و D+28.</v>
      </c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7"/>
    </row>
    <row r="76" ht="26" customHeight="1">
      <c r="A76" s="366" t="str">
        <v>جابه‌جایی مرور</v>
      </c>
      <c r="B76" s="367" t="str">
        <v>اولویت با ضعف، ضریب/وزن، نزدیکی سررسید و قدیمی‌ترین تأخیر است.</v>
      </c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8"/>
    </row>
    <row r="77" ht="26" customHeight="1">
      <c r="A77" s="345" t="str">
        <v>جمعه</v>
      </c>
      <c r="B77" s="346" t="str">
        <v>پارت دوم همه جمعه‌ها ایستگاه جبرانی و تثبیت با اولویت و جایگزین ازپیش‌تعریف‌شده است.</v>
      </c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7"/>
    </row>
    <row r="78" ht="26" customHeight="1">
      <c r="A78" s="366" t="str">
        <v>شمارش صفحات</v>
      </c>
      <c r="B78" s="367" t="str">
        <v>صفحات به‌صورت مجموعه یکتا شمرده شده‌اند؛ مرور به‌عنوان صفحه جدید محسوب نشده است.</v>
      </c>
      <c r="C78" s="367"/>
      <c r="D78" s="367"/>
      <c r="E78" s="367"/>
      <c r="F78" s="367"/>
      <c r="G78" s="367"/>
      <c r="H78" s="367"/>
      <c r="I78" s="367"/>
      <c r="J78" s="367"/>
      <c r="K78" s="367"/>
      <c r="L78" s="367"/>
      <c r="M78" s="368"/>
    </row>
    <row r="79" ht="26" customHeight="1">
      <c r="A79" s="345" t="str">
        <v>هدف دور نخست</v>
      </c>
      <c r="B79" s="346" t="str">
        <v>پایان دور نخست تا ۲۲ مهر ۱۴۰۵.</v>
      </c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7"/>
    </row>
    <row r="80" ht="26" customHeight="1">
      <c r="A80" s="366" t="str">
        <v>دامنه رشد</v>
      </c>
      <c r="B80" s="367" t="str">
        <v>طبق بازه صریح کاربر تا صفحه ۵۸۰؛ فصل ۱۸ از صفحه ۵۸۵ خارج از برنامه است.</v>
      </c>
      <c r="C80" s="367"/>
      <c r="D80" s="367"/>
      <c r="E80" s="367"/>
      <c r="F80" s="367"/>
      <c r="G80" s="367"/>
      <c r="H80" s="367"/>
      <c r="I80" s="367"/>
      <c r="J80" s="367"/>
      <c r="K80" s="367"/>
      <c r="L80" s="367"/>
      <c r="M80" s="368"/>
    </row>
    <row r="81" ht="26" customHeight="1">
      <c r="A81" s="345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7"/>
    </row>
    <row r="82" ht="26" customHeight="1">
      <c r="A82" s="366"/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8"/>
    </row>
    <row r="83" ht="26" customHeight="1">
      <c r="A83" s="663" t="str">
        <v>بخش د — تطبیق پوشش صفحات</v>
      </c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5"/>
    </row>
    <row r="84" ht="26" customHeight="1">
      <c r="A84" s="561" t="str">
        <v>منبع</v>
      </c>
      <c r="B84" s="562" t="str">
        <v>صفحات لازم یکتا</v>
      </c>
      <c r="C84" s="562" t="str">
        <v>صفحات انجام‌شده</v>
      </c>
      <c r="D84" s="562" t="str">
        <v>صفحات حذف‌شده</v>
      </c>
      <c r="E84" s="562" t="str">
        <v>صفحات باقی‌مانده</v>
      </c>
      <c r="F84" s="562" t="str">
        <v>صفحات جدید زمان‌بندی‌شده</v>
      </c>
      <c r="G84" s="562" t="str">
        <v>اولین صفحه</v>
      </c>
      <c r="H84" s="562" t="str">
        <v>آخرین صفحه</v>
      </c>
      <c r="I84" s="562" t="str">
        <v>صفحه تکراری</v>
      </c>
      <c r="J84" s="562" t="str">
        <v>صفحه مفقود</v>
      </c>
      <c r="K84" s="562" t="str">
        <v>نتیجه</v>
      </c>
      <c r="L84" s="562"/>
      <c r="M84" s="563"/>
    </row>
    <row r="85" ht="26" customHeight="1">
      <c r="A85" s="345" t="str">
        <v>آسیب‌شناسی روانی</v>
      </c>
      <c r="B85" s="346" t="n">
        <v>693</v>
      </c>
      <c r="C85" s="346" t="n">
        <v>0</v>
      </c>
      <c r="D85" s="346" t="n">
        <v>0</v>
      </c>
      <c r="E85" s="346" t="n">
        <v>693</v>
      </c>
      <c r="F85" s="346" t="n">
        <v>693</v>
      </c>
      <c r="G85" s="346" t="n">
        <v>2</v>
      </c>
      <c r="H85" s="346" t="n">
        <v>694</v>
      </c>
      <c r="I85" s="346" t="n">
        <v>0</v>
      </c>
      <c r="J85" s="346" t="n">
        <v>0</v>
      </c>
      <c r="K85" s="346" t="str">
        <v>تطبیق کامل</v>
      </c>
      <c r="L85" s="346"/>
      <c r="M85" s="347"/>
    </row>
    <row r="86" ht="26" customHeight="1">
      <c r="A86" s="366" t="str">
        <v>نظریه‌های روان‌درمانی پروچاسکا</v>
      </c>
      <c r="B86" s="367" t="n">
        <v>857</v>
      </c>
      <c r="C86" s="367" t="n">
        <v>0</v>
      </c>
      <c r="D86" s="367" t="n">
        <v>0</v>
      </c>
      <c r="E86" s="367" t="n">
        <v>857</v>
      </c>
      <c r="F86" s="367" t="n">
        <v>857</v>
      </c>
      <c r="G86" s="367" t="n">
        <v>4</v>
      </c>
      <c r="H86" s="367" t="n">
        <v>860</v>
      </c>
      <c r="I86" s="367" t="n">
        <v>0</v>
      </c>
      <c r="J86" s="367" t="n">
        <v>0</v>
      </c>
      <c r="K86" s="367" t="str">
        <v>تطبیق کامل</v>
      </c>
      <c r="L86" s="367"/>
      <c r="M86" s="368"/>
    </row>
    <row r="87" ht="26" customHeight="1">
      <c r="A87" s="345" t="str">
        <v>روان‌شناسی رشد کرین</v>
      </c>
      <c r="B87" s="346" t="n">
        <v>554</v>
      </c>
      <c r="C87" s="346" t="n">
        <v>29</v>
      </c>
      <c r="D87" s="346" t="n">
        <v>0</v>
      </c>
      <c r="E87" s="346" t="n">
        <v>525</v>
      </c>
      <c r="F87" s="346" t="n">
        <v>525</v>
      </c>
      <c r="G87" s="346" t="n">
        <v>56</v>
      </c>
      <c r="H87" s="346" t="n">
        <v>580</v>
      </c>
      <c r="I87" s="346" t="n">
        <v>0</v>
      </c>
      <c r="J87" s="346" t="n">
        <v>0</v>
      </c>
      <c r="K87" s="346" t="str">
        <v>تطبیق کامل</v>
      </c>
      <c r="L87" s="346"/>
      <c r="M87" s="347"/>
    </row>
    <row r="88" ht="26" customHeight="1">
      <c r="A88" s="366"/>
      <c r="B88" s="367"/>
      <c r="C88" s="367"/>
      <c r="D88" s="367"/>
      <c r="E88" s="367"/>
      <c r="F88" s="367"/>
      <c r="G88" s="367"/>
      <c r="H88" s="367"/>
      <c r="I88" s="367"/>
      <c r="J88" s="367"/>
      <c r="K88" s="367"/>
      <c r="L88" s="367"/>
      <c r="M88" s="368"/>
    </row>
    <row r="89" ht="26" customHeight="1">
      <c r="A89" s="345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7"/>
    </row>
    <row r="90" ht="26" customHeight="1">
      <c r="A90" s="666" t="str">
        <v>بخش هـ — گزارش هفتگی</v>
      </c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8"/>
    </row>
    <row r="91" ht="26" customHeight="1">
      <c r="A91" s="515" t="str">
        <v>هفته</v>
      </c>
      <c r="B91" s="516" t="str">
        <v>بازه تاریخ</v>
      </c>
      <c r="C91" s="516" t="str">
        <v>تعداد روز</v>
      </c>
      <c r="D91" s="516" t="str">
        <v>کل دقیقه</v>
      </c>
      <c r="E91" s="516" t="str">
        <v>مطالعه اولیه</v>
      </c>
      <c r="F91" s="516" t="str">
        <v>بازیابی و مرور</v>
      </c>
      <c r="G91" s="516" t="str">
        <v>آزمون و تحلیل</v>
      </c>
      <c r="H91" s="516" t="str">
        <v>ایستگاه جبرانی</v>
      </c>
      <c r="I91" s="516" t="str">
        <v>درصد آزمون</v>
      </c>
      <c r="J91" s="516" t="str">
        <v>اعتبار ۲۵٪ تا ۳۵٪</v>
      </c>
      <c r="K91" s="516"/>
      <c r="L91" s="516"/>
      <c r="M91" s="517"/>
    </row>
    <row r="92" ht="26" customHeight="1">
      <c r="A92" s="366" t="n">
        <v>1</v>
      </c>
      <c r="B92" s="367" t="str">
        <v>۱۴۰۵/۰۵/۱۲ تا ۱۴۰۵/۰۵/۱۶</v>
      </c>
      <c r="C92" s="367" t="n">
        <v>5</v>
      </c>
      <c r="D92" s="367" t="n">
        <v>1200</v>
      </c>
      <c r="E92" s="367" t="n">
        <v>535</v>
      </c>
      <c r="F92" s="367" t="n">
        <v>325</v>
      </c>
      <c r="G92" s="367" t="n">
        <v>340</v>
      </c>
      <c r="H92" s="367" t="n">
        <v>90</v>
      </c>
      <c r="I92" s="564" t="n">
        <v>0.2833333333333333</v>
      </c>
      <c r="J92" s="367" t="str">
        <v>معتبر</v>
      </c>
      <c r="K92" s="367"/>
      <c r="L92" s="367"/>
      <c r="M92" s="368"/>
    </row>
    <row r="93" ht="26" customHeight="1">
      <c r="A93" s="345" t="n">
        <v>2</v>
      </c>
      <c r="B93" s="346" t="str">
        <v>۱۴۰۵/۰۵/۱۷ تا ۱۴۰۵/۰۵/۲۳</v>
      </c>
      <c r="C93" s="346" t="n">
        <v>7</v>
      </c>
      <c r="D93" s="346" t="n">
        <v>1680</v>
      </c>
      <c r="E93" s="346" t="n">
        <v>759</v>
      </c>
      <c r="F93" s="346" t="n">
        <v>445</v>
      </c>
      <c r="G93" s="346" t="n">
        <v>476</v>
      </c>
      <c r="H93" s="346" t="n">
        <v>90</v>
      </c>
      <c r="I93" s="492" t="n">
        <v>0.2833333333333333</v>
      </c>
      <c r="J93" s="346" t="str">
        <v>معتبر</v>
      </c>
      <c r="K93" s="346"/>
      <c r="L93" s="346"/>
      <c r="M93" s="347"/>
    </row>
    <row r="94" ht="26" customHeight="1">
      <c r="A94" s="366" t="n">
        <v>3</v>
      </c>
      <c r="B94" s="367" t="str">
        <v>۱۴۰۵/۰۵/۲۴ تا ۱۴۰۵/۰۵/۳۰</v>
      </c>
      <c r="C94" s="367" t="n">
        <v>7</v>
      </c>
      <c r="D94" s="367" t="n">
        <v>1680</v>
      </c>
      <c r="E94" s="367" t="n">
        <v>759</v>
      </c>
      <c r="F94" s="367" t="n">
        <v>445</v>
      </c>
      <c r="G94" s="367" t="n">
        <v>476</v>
      </c>
      <c r="H94" s="367" t="n">
        <v>90</v>
      </c>
      <c r="I94" s="564" t="n">
        <v>0.2833333333333333</v>
      </c>
      <c r="J94" s="367" t="str">
        <v>معتبر</v>
      </c>
      <c r="K94" s="367"/>
      <c r="L94" s="367"/>
      <c r="M94" s="368"/>
    </row>
    <row r="95" ht="26" customHeight="1">
      <c r="A95" s="345" t="n">
        <v>4</v>
      </c>
      <c r="B95" s="346" t="str">
        <v>۱۴۰۵/۰۵/۳۱ تا ۱۴۰۵/۰۶/۰۶</v>
      </c>
      <c r="C95" s="346" t="n">
        <v>7</v>
      </c>
      <c r="D95" s="346" t="n">
        <v>1680</v>
      </c>
      <c r="E95" s="346" t="n">
        <v>759</v>
      </c>
      <c r="F95" s="346" t="n">
        <v>445</v>
      </c>
      <c r="G95" s="346" t="n">
        <v>476</v>
      </c>
      <c r="H95" s="346" t="n">
        <v>90</v>
      </c>
      <c r="I95" s="492" t="n">
        <v>0.2833333333333333</v>
      </c>
      <c r="J95" s="346" t="str">
        <v>معتبر</v>
      </c>
      <c r="K95" s="346"/>
      <c r="L95" s="346"/>
      <c r="M95" s="347"/>
    </row>
    <row r="96" ht="26" customHeight="1">
      <c r="A96" s="366" t="n">
        <v>5</v>
      </c>
      <c r="B96" s="367" t="str">
        <v>۱۴۰۵/۰۶/۰۷ تا ۱۴۰۵/۰۶/۱۳</v>
      </c>
      <c r="C96" s="367" t="n">
        <v>7</v>
      </c>
      <c r="D96" s="367" t="n">
        <v>1680</v>
      </c>
      <c r="E96" s="367" t="n">
        <v>759</v>
      </c>
      <c r="F96" s="367" t="n">
        <v>445</v>
      </c>
      <c r="G96" s="367" t="n">
        <v>476</v>
      </c>
      <c r="H96" s="367" t="n">
        <v>90</v>
      </c>
      <c r="I96" s="564" t="n">
        <v>0.2833333333333333</v>
      </c>
      <c r="J96" s="367" t="str">
        <v>معتبر</v>
      </c>
      <c r="K96" s="367"/>
      <c r="L96" s="367"/>
      <c r="M96" s="368"/>
    </row>
    <row r="97" ht="26" customHeight="1">
      <c r="A97" s="345" t="n">
        <v>6</v>
      </c>
      <c r="B97" s="346" t="str">
        <v>۱۴۰۵/۰۶/۱۴ تا ۱۴۰۵/۰۶/۲۰</v>
      </c>
      <c r="C97" s="346" t="n">
        <v>7</v>
      </c>
      <c r="D97" s="346" t="n">
        <v>1680</v>
      </c>
      <c r="E97" s="346" t="n">
        <v>759</v>
      </c>
      <c r="F97" s="346" t="n">
        <v>445</v>
      </c>
      <c r="G97" s="346" t="n">
        <v>476</v>
      </c>
      <c r="H97" s="346" t="n">
        <v>90</v>
      </c>
      <c r="I97" s="492" t="n">
        <v>0.2833333333333333</v>
      </c>
      <c r="J97" s="346" t="str">
        <v>معتبر</v>
      </c>
      <c r="K97" s="346"/>
      <c r="L97" s="346"/>
      <c r="M97" s="347"/>
    </row>
    <row r="98" ht="26" customHeight="1">
      <c r="A98" s="366" t="n">
        <v>7</v>
      </c>
      <c r="B98" s="367" t="str">
        <v>۱۴۰۵/۰۶/۲۱ تا ۱۴۰۵/۰۶/۲۷</v>
      </c>
      <c r="C98" s="367" t="n">
        <v>7</v>
      </c>
      <c r="D98" s="367" t="n">
        <v>1680</v>
      </c>
      <c r="E98" s="367" t="n">
        <v>759</v>
      </c>
      <c r="F98" s="367" t="n">
        <v>445</v>
      </c>
      <c r="G98" s="367" t="n">
        <v>476</v>
      </c>
      <c r="H98" s="367" t="n">
        <v>90</v>
      </c>
      <c r="I98" s="564" t="n">
        <v>0.2833333333333333</v>
      </c>
      <c r="J98" s="367" t="str">
        <v>معتبر</v>
      </c>
      <c r="K98" s="367"/>
      <c r="L98" s="367"/>
      <c r="M98" s="368"/>
    </row>
    <row r="99" ht="26" customHeight="1">
      <c r="A99" s="345" t="n">
        <v>8</v>
      </c>
      <c r="B99" s="346" t="str">
        <v>۱۴۰۵/۰۶/۲۸ تا ۱۴۰۵/۰۷/۰۳</v>
      </c>
      <c r="C99" s="346" t="n">
        <v>7</v>
      </c>
      <c r="D99" s="346" t="n">
        <v>1680</v>
      </c>
      <c r="E99" s="346" t="n">
        <v>759</v>
      </c>
      <c r="F99" s="346" t="n">
        <v>445</v>
      </c>
      <c r="G99" s="346" t="n">
        <v>476</v>
      </c>
      <c r="H99" s="346" t="n">
        <v>90</v>
      </c>
      <c r="I99" s="492" t="n">
        <v>0.2833333333333333</v>
      </c>
      <c r="J99" s="346" t="str">
        <v>معتبر</v>
      </c>
      <c r="K99" s="346"/>
      <c r="L99" s="346"/>
      <c r="M99" s="347"/>
    </row>
    <row r="100" ht="26" customHeight="1">
      <c r="A100" s="366" t="n">
        <v>9</v>
      </c>
      <c r="B100" s="367" t="str">
        <v>۱۴۰۵/۰۷/۰۴ تا ۱۴۰۵/۰۷/۱۰</v>
      </c>
      <c r="C100" s="367" t="n">
        <v>7</v>
      </c>
      <c r="D100" s="367" t="n">
        <v>1680</v>
      </c>
      <c r="E100" s="367" t="n">
        <v>759</v>
      </c>
      <c r="F100" s="367" t="n">
        <v>445</v>
      </c>
      <c r="G100" s="367" t="n">
        <v>476</v>
      </c>
      <c r="H100" s="367" t="n">
        <v>90</v>
      </c>
      <c r="I100" s="564" t="n">
        <v>0.2833333333333333</v>
      </c>
      <c r="J100" s="367" t="str">
        <v>معتبر</v>
      </c>
      <c r="K100" s="367"/>
      <c r="L100" s="367"/>
      <c r="M100" s="368"/>
    </row>
    <row r="101" ht="26" customHeight="1">
      <c r="A101" s="345" t="n">
        <v>10</v>
      </c>
      <c r="B101" s="346" t="str">
        <v>۱۴۰۵/۰۷/۱۱ تا ۱۴۰۵/۰۷/۱۷</v>
      </c>
      <c r="C101" s="346" t="n">
        <v>7</v>
      </c>
      <c r="D101" s="346" t="n">
        <v>1680</v>
      </c>
      <c r="E101" s="346" t="n">
        <v>759</v>
      </c>
      <c r="F101" s="346" t="n">
        <v>445</v>
      </c>
      <c r="G101" s="346" t="n">
        <v>476</v>
      </c>
      <c r="H101" s="346" t="n">
        <v>90</v>
      </c>
      <c r="I101" s="492" t="n">
        <v>0.2833333333333333</v>
      </c>
      <c r="J101" s="346" t="str">
        <v>معتبر</v>
      </c>
      <c r="K101" s="346"/>
      <c r="L101" s="346"/>
      <c r="M101" s="347"/>
    </row>
    <row r="102" ht="26" customHeight="1">
      <c r="A102" s="366" t="n">
        <v>11</v>
      </c>
      <c r="B102" s="367" t="str">
        <v>۱۴۰۵/۰۷/۱۸ تا ۱۴۰۵/۰۷/۲۴</v>
      </c>
      <c r="C102" s="367" t="n">
        <v>7</v>
      </c>
      <c r="D102" s="367" t="n">
        <v>1680</v>
      </c>
      <c r="E102" s="367" t="n">
        <v>560</v>
      </c>
      <c r="F102" s="367" t="n">
        <v>640</v>
      </c>
      <c r="G102" s="367" t="n">
        <v>480</v>
      </c>
      <c r="H102" s="367" t="n">
        <v>90</v>
      </c>
      <c r="I102" s="564" t="n">
        <v>0.2857142857142857</v>
      </c>
      <c r="J102" s="367" t="str">
        <v>معتبر</v>
      </c>
      <c r="K102" s="367"/>
      <c r="L102" s="367"/>
      <c r="M102" s="368"/>
    </row>
    <row r="103" ht="26" customHeight="1">
      <c r="A103" s="345" t="n">
        <v>12</v>
      </c>
      <c r="B103" s="346" t="str">
        <v>۱۴۰۵/۰۷/۲۵ تا ۱۴۰۵/۰۷/۳۰</v>
      </c>
      <c r="C103" s="346" t="n">
        <v>6</v>
      </c>
      <c r="D103" s="346" t="n">
        <v>1440</v>
      </c>
      <c r="E103" s="346" t="n">
        <v>0</v>
      </c>
      <c r="F103" s="346" t="n">
        <v>1020</v>
      </c>
      <c r="G103" s="346" t="n">
        <v>420</v>
      </c>
      <c r="H103" s="346" t="n">
        <v>0</v>
      </c>
      <c r="I103" s="492" t="n">
        <v>0.2916666666666667</v>
      </c>
      <c r="J103" s="346" t="str">
        <v>معتبر</v>
      </c>
      <c r="K103" s="346"/>
      <c r="L103" s="346"/>
      <c r="M103" s="347"/>
    </row>
    <row r="104" ht="26" customHeight="1">
      <c r="A104" s="366"/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8"/>
    </row>
    <row r="105" ht="26" customHeight="1">
      <c r="A105" s="345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7"/>
    </row>
    <row r="106" ht="26" customHeight="1">
      <c r="A106" s="713" t="str">
        <v>بخش و — جابه‌جایی‌های مرور</v>
      </c>
      <c r="B106" s="714"/>
      <c r="C106" s="714"/>
      <c r="D106" s="714"/>
      <c r="E106" s="714"/>
      <c r="F106" s="714"/>
      <c r="G106" s="714"/>
      <c r="H106" s="714"/>
      <c r="I106" s="714"/>
      <c r="J106" s="714"/>
      <c r="K106" s="714"/>
      <c r="L106" s="714"/>
      <c r="M106" s="715"/>
    </row>
    <row r="107" ht="26" customHeight="1">
      <c r="A107" s="515" t="str">
        <v>شناسه واحد</v>
      </c>
      <c r="B107" s="516" t="str">
        <v>تاریخ پایه</v>
      </c>
      <c r="C107" s="516" t="str">
        <v>تاریخ جابه‌جا‌شده</v>
      </c>
      <c r="D107" s="516" t="str">
        <v>تعداد روز</v>
      </c>
      <c r="E107" s="516" t="str">
        <v>علت</v>
      </c>
      <c r="F107" s="516" t="str">
        <v>درس</v>
      </c>
      <c r="G107" s="516" t="str">
        <v>اولویت</v>
      </c>
      <c r="H107" s="516" t="str">
        <v>نتیجه</v>
      </c>
      <c r="I107" s="516"/>
      <c r="J107" s="516"/>
      <c r="K107" s="516"/>
      <c r="L107" s="516"/>
      <c r="M107" s="517"/>
    </row>
    <row r="108" ht="26" customHeight="1">
      <c r="A108" s="366" t="str">
        <v>U003</v>
      </c>
      <c r="B108" s="367" t="str">
        <v>۱۴۰۵/۰۵/۲۷</v>
      </c>
      <c r="C108" s="367" t="str">
        <v>۱۴۰۵/۰۵/۲۸</v>
      </c>
      <c r="D108" s="367" t="n">
        <v>1</v>
      </c>
      <c r="E108" s="367" t="str">
        <v>رفع برخورد و حفظ محدودیت دو درس</v>
      </c>
      <c r="F108" s="367" t="str">
        <v>آسیب‌شناسی روانی</v>
      </c>
      <c r="G108" s="367" t="str">
        <v>شکست/ضعف ← ضریب ← سررسید</v>
      </c>
      <c r="H108" s="367" t="str">
        <v>معتبر/انتقال نهایی</v>
      </c>
      <c r="I108" s="367"/>
      <c r="J108" s="367"/>
      <c r="K108" s="367"/>
      <c r="L108" s="367"/>
      <c r="M108" s="368"/>
    </row>
    <row r="109" ht="26" customHeight="1">
      <c r="A109" s="345" t="str">
        <v>U004</v>
      </c>
      <c r="B109" s="346" t="str">
        <v>۱۴۰۵/۰۶/۱۱</v>
      </c>
      <c r="C109" s="346" t="str">
        <v>۱۴۰۵/۰۶/۱۲</v>
      </c>
      <c r="D109" s="346" t="n">
        <v>1</v>
      </c>
      <c r="E109" s="346" t="str">
        <v>رفع برخورد و حفظ محدودیت دو درس</v>
      </c>
      <c r="F109" s="346" t="str">
        <v>آسیب‌شناسی روانی</v>
      </c>
      <c r="G109" s="346" t="str">
        <v>شکست/ضعف ← ضریب ← سررسید</v>
      </c>
      <c r="H109" s="346" t="str">
        <v>معتبر/انتقال نهایی</v>
      </c>
      <c r="I109" s="346"/>
      <c r="J109" s="346"/>
      <c r="K109" s="346"/>
      <c r="L109" s="346"/>
      <c r="M109" s="347"/>
    </row>
    <row r="110" ht="26" customHeight="1">
      <c r="A110" s="366" t="str">
        <v>U005</v>
      </c>
      <c r="B110" s="367" t="str">
        <v>۱۴۰۵/۰۵/۲۹</v>
      </c>
      <c r="C110" s="367" t="str">
        <v>۱۴۰۵/۰۵/۲۸</v>
      </c>
      <c r="D110" s="367" t="n">
        <v>-1</v>
      </c>
      <c r="E110" s="367" t="str">
        <v>رفع برخورد و حفظ محدودیت دو درس</v>
      </c>
      <c r="F110" s="367" t="str">
        <v>آسیب‌شناسی روانی</v>
      </c>
      <c r="G110" s="367" t="str">
        <v>شکست/ضعف ← ضریب ← سررسید</v>
      </c>
      <c r="H110" s="367" t="str">
        <v>معتبر/انتقال نهایی</v>
      </c>
      <c r="I110" s="367"/>
      <c r="J110" s="367"/>
      <c r="K110" s="367"/>
      <c r="L110" s="367"/>
      <c r="M110" s="368"/>
    </row>
    <row r="111" ht="26" customHeight="1">
      <c r="A111" s="345" t="str">
        <v>U006</v>
      </c>
      <c r="B111" s="346" t="str">
        <v>۱۴۰۵/۰۵/۲۳</v>
      </c>
      <c r="C111" s="346" t="str">
        <v>۱۴۰۵/۰۵/۲۴</v>
      </c>
      <c r="D111" s="346" t="n">
        <v>1</v>
      </c>
      <c r="E111" s="346" t="str">
        <v>رفع برخورد و حفظ محدودیت دو درس</v>
      </c>
      <c r="F111" s="346" t="str">
        <v>آسیب‌شناسی روانی</v>
      </c>
      <c r="G111" s="346" t="str">
        <v>شکست/ضعف ← ضریب ← سررسید</v>
      </c>
      <c r="H111" s="346" t="str">
        <v>معتبر/انتقال نهایی</v>
      </c>
      <c r="I111" s="346"/>
      <c r="J111" s="346"/>
      <c r="K111" s="346"/>
      <c r="L111" s="346"/>
      <c r="M111" s="347"/>
    </row>
    <row r="112" ht="26" customHeight="1">
      <c r="A112" s="366" t="str">
        <v>U006</v>
      </c>
      <c r="B112" s="367" t="str">
        <v>۱۴۰۵/۰۵/۳۰</v>
      </c>
      <c r="C112" s="367" t="str">
        <v>۱۴۰۵/۰۵/۳۱</v>
      </c>
      <c r="D112" s="367" t="n">
        <v>1</v>
      </c>
      <c r="E112" s="367" t="str">
        <v>رفع برخورد و حفظ محدودیت دو درس</v>
      </c>
      <c r="F112" s="367" t="str">
        <v>آسیب‌شناسی روانی</v>
      </c>
      <c r="G112" s="367" t="str">
        <v>شکست/ضعف ← ضریب ← سررسید</v>
      </c>
      <c r="H112" s="367" t="str">
        <v>معتبر/انتقال نهایی</v>
      </c>
      <c r="I112" s="367"/>
      <c r="J112" s="367"/>
      <c r="K112" s="367"/>
      <c r="L112" s="367"/>
      <c r="M112" s="368"/>
    </row>
    <row r="113" ht="26" customHeight="1">
      <c r="A113" s="345" t="str">
        <v>U006</v>
      </c>
      <c r="B113" s="346" t="str">
        <v>۱۴۰۵/۰۶/۱۳</v>
      </c>
      <c r="C113" s="346" t="str">
        <v>۱۴۰۵/۰۶/۱۴</v>
      </c>
      <c r="D113" s="346" t="n">
        <v>1</v>
      </c>
      <c r="E113" s="346" t="str">
        <v>رفع برخورد و حفظ محدودیت دو درس</v>
      </c>
      <c r="F113" s="346" t="str">
        <v>آسیب‌شناسی روانی</v>
      </c>
      <c r="G113" s="346" t="str">
        <v>شکست/ضعف ← ضریب ← سررسید</v>
      </c>
      <c r="H113" s="346" t="str">
        <v>معتبر/انتقال نهایی</v>
      </c>
      <c r="I113" s="346"/>
      <c r="J113" s="346"/>
      <c r="K113" s="346"/>
      <c r="L113" s="346"/>
      <c r="M113" s="347"/>
    </row>
    <row r="114" ht="26" customHeight="1">
      <c r="A114" s="366" t="str">
        <v>U007</v>
      </c>
      <c r="B114" s="367" t="str">
        <v>۱۴۰۵/۰۵/۲۳</v>
      </c>
      <c r="C114" s="367" t="str">
        <v>۱۴۰۵/۰۵/۲۴</v>
      </c>
      <c r="D114" s="367" t="n">
        <v>1</v>
      </c>
      <c r="E114" s="367" t="str">
        <v>رفع برخورد و حفظ محدودیت دو درس</v>
      </c>
      <c r="F114" s="367" t="str">
        <v>آسیب‌شناسی روانی</v>
      </c>
      <c r="G114" s="367" t="str">
        <v>شکست/ضعف ← ضریب ← سررسید</v>
      </c>
      <c r="H114" s="367" t="str">
        <v>معتبر/انتقال نهایی</v>
      </c>
      <c r="I114" s="367"/>
      <c r="J114" s="367"/>
      <c r="K114" s="367"/>
      <c r="L114" s="367"/>
      <c r="M114" s="368"/>
    </row>
    <row r="115" ht="26" customHeight="1">
      <c r="A115" s="345" t="str">
        <v>U007</v>
      </c>
      <c r="B115" s="346" t="str">
        <v>۱۴۰۵/۰۵/۳۰</v>
      </c>
      <c r="C115" s="346" t="str">
        <v>۱۴۰۵/۰۵/۳۱</v>
      </c>
      <c r="D115" s="346" t="n">
        <v>1</v>
      </c>
      <c r="E115" s="346" t="str">
        <v>رفع برخورد و حفظ محدودیت دو درس</v>
      </c>
      <c r="F115" s="346" t="str">
        <v>آسیب‌شناسی روانی</v>
      </c>
      <c r="G115" s="346" t="str">
        <v>شکست/ضعف ← ضریب ← سررسید</v>
      </c>
      <c r="H115" s="346" t="str">
        <v>معتبر/انتقال نهایی</v>
      </c>
      <c r="I115" s="346"/>
      <c r="J115" s="346"/>
      <c r="K115" s="346"/>
      <c r="L115" s="346"/>
      <c r="M115" s="347"/>
    </row>
    <row r="116" ht="26" customHeight="1">
      <c r="A116" s="366" t="str">
        <v>U007</v>
      </c>
      <c r="B116" s="367" t="str">
        <v>۱۴۰۵/۰۶/۱۳</v>
      </c>
      <c r="C116" s="367" t="str">
        <v>۱۴۰۵/۰۶/۱۴</v>
      </c>
      <c r="D116" s="367" t="n">
        <v>1</v>
      </c>
      <c r="E116" s="367" t="str">
        <v>رفع برخورد و حفظ محدودیت دو درس</v>
      </c>
      <c r="F116" s="367" t="str">
        <v>آسیب‌شناسی روانی</v>
      </c>
      <c r="G116" s="367" t="str">
        <v>شکست/ضعف ← ضریب ← سررسید</v>
      </c>
      <c r="H116" s="367" t="str">
        <v>معتبر/انتقال نهایی</v>
      </c>
      <c r="I116" s="367"/>
      <c r="J116" s="367"/>
      <c r="K116" s="367"/>
      <c r="L116" s="367"/>
      <c r="M116" s="368"/>
    </row>
    <row r="117" ht="26" customHeight="1">
      <c r="A117" s="345" t="str">
        <v>U009</v>
      </c>
      <c r="B117" s="346" t="str">
        <v>۱۴۰۵/۰۵/۲۵</v>
      </c>
      <c r="C117" s="346" t="str">
        <v>۱۴۰۵/۰۵/۲۶</v>
      </c>
      <c r="D117" s="346" t="n">
        <v>1</v>
      </c>
      <c r="E117" s="346" t="str">
        <v>رفع برخورد و حفظ محدودیت دو درس</v>
      </c>
      <c r="F117" s="346" t="str">
        <v>آسیب‌شناسی روانی</v>
      </c>
      <c r="G117" s="346" t="str">
        <v>شکست/ضعف ← ضریب ← سررسید</v>
      </c>
      <c r="H117" s="346" t="str">
        <v>معتبر/انتقال نهایی</v>
      </c>
      <c r="I117" s="346"/>
      <c r="J117" s="346"/>
      <c r="K117" s="346"/>
      <c r="L117" s="346"/>
      <c r="M117" s="347"/>
    </row>
    <row r="118" ht="26" customHeight="1">
      <c r="A118" s="366" t="str">
        <v>U009</v>
      </c>
      <c r="B118" s="367" t="str">
        <v>۱۴۰۵/۰۶/۰۱</v>
      </c>
      <c r="C118" s="367" t="str">
        <v>۱۴۰۵/۰۶/۰۲</v>
      </c>
      <c r="D118" s="367" t="n">
        <v>1</v>
      </c>
      <c r="E118" s="367" t="str">
        <v>رفع برخورد و حفظ محدودیت دو درس</v>
      </c>
      <c r="F118" s="367" t="str">
        <v>آسیب‌شناسی روانی</v>
      </c>
      <c r="G118" s="367" t="str">
        <v>شکست/ضعف ← ضریب ← سررسید</v>
      </c>
      <c r="H118" s="367" t="str">
        <v>معتبر/انتقال نهایی</v>
      </c>
      <c r="I118" s="367"/>
      <c r="J118" s="367"/>
      <c r="K118" s="367"/>
      <c r="L118" s="367"/>
      <c r="M118" s="368"/>
    </row>
    <row r="119" ht="26" customHeight="1">
      <c r="A119" s="345" t="str">
        <v>U011</v>
      </c>
      <c r="B119" s="346" t="str">
        <v>۱۴۰۵/۰۵/۲۳</v>
      </c>
      <c r="C119" s="346" t="str">
        <v>۱۴۰۵/۰۵/۲۴</v>
      </c>
      <c r="D119" s="346" t="n">
        <v>1</v>
      </c>
      <c r="E119" s="346" t="str">
        <v>رفع برخورد و حفظ محدودیت دو درس</v>
      </c>
      <c r="F119" s="346" t="str">
        <v>آسیب‌شناسی روانی</v>
      </c>
      <c r="G119" s="346" t="str">
        <v>شکست/ضعف ← ضریب ← سررسید</v>
      </c>
      <c r="H119" s="346" t="str">
        <v>معتبر/انتقال نهایی</v>
      </c>
      <c r="I119" s="346"/>
      <c r="J119" s="346"/>
      <c r="K119" s="346"/>
      <c r="L119" s="346"/>
      <c r="M119" s="347"/>
    </row>
    <row r="120" ht="26" customHeight="1">
      <c r="A120" s="366" t="str">
        <v>U011</v>
      </c>
      <c r="B120" s="367" t="str">
        <v>۱۴۰۵/۰۵/۲۷</v>
      </c>
      <c r="C120" s="367" t="str">
        <v>۱۴۰۵/۰۵/۲۸</v>
      </c>
      <c r="D120" s="367" t="n">
        <v>1</v>
      </c>
      <c r="E120" s="367" t="str">
        <v>رفع برخورد و حفظ محدودیت دو درس</v>
      </c>
      <c r="F120" s="367" t="str">
        <v>آسیب‌شناسی روانی</v>
      </c>
      <c r="G120" s="367" t="str">
        <v>شکست/ضعف ← ضریب ← سررسید</v>
      </c>
      <c r="H120" s="367" t="str">
        <v>معتبر/انتقال نهایی</v>
      </c>
      <c r="I120" s="367"/>
      <c r="J120" s="367"/>
      <c r="K120" s="367"/>
      <c r="L120" s="367"/>
      <c r="M120" s="368"/>
    </row>
    <row r="121" ht="26" customHeight="1">
      <c r="A121" s="345" t="str">
        <v>U012</v>
      </c>
      <c r="B121" s="346" t="str">
        <v>۱۴۰۵/۰۵/۲۳</v>
      </c>
      <c r="C121" s="346" t="str">
        <v>۱۴۰۵/۰۵/۲۴</v>
      </c>
      <c r="D121" s="346" t="n">
        <v>1</v>
      </c>
      <c r="E121" s="346" t="str">
        <v>رفع برخورد و حفظ محدودیت دو درس</v>
      </c>
      <c r="F121" s="346" t="str">
        <v>آسیب‌شناسی روانی</v>
      </c>
      <c r="G121" s="346" t="str">
        <v>شکست/ضعف ← ضریب ← سررسید</v>
      </c>
      <c r="H121" s="346" t="str">
        <v>معتبر/انتقال نهایی</v>
      </c>
      <c r="I121" s="346"/>
      <c r="J121" s="346"/>
      <c r="K121" s="346"/>
      <c r="L121" s="346"/>
      <c r="M121" s="347"/>
    </row>
    <row r="122" ht="26" customHeight="1">
      <c r="A122" s="366" t="str">
        <v>U012</v>
      </c>
      <c r="B122" s="367" t="str">
        <v>۱۴۰۵/۰۵/۲۷</v>
      </c>
      <c r="C122" s="367" t="str">
        <v>۱۴۰۵/۰۵/۲۸</v>
      </c>
      <c r="D122" s="367" t="n">
        <v>1</v>
      </c>
      <c r="E122" s="367" t="str">
        <v>رفع برخورد و حفظ محدودیت دو درس</v>
      </c>
      <c r="F122" s="367" t="str">
        <v>آسیب‌شناسی روانی</v>
      </c>
      <c r="G122" s="367" t="str">
        <v>شکست/ضعف ← ضریب ← سررسید</v>
      </c>
      <c r="H122" s="367" t="str">
        <v>معتبر/انتقال نهایی</v>
      </c>
      <c r="I122" s="367"/>
      <c r="J122" s="367"/>
      <c r="K122" s="367"/>
      <c r="L122" s="367"/>
      <c r="M122" s="368"/>
    </row>
    <row r="123" ht="26" customHeight="1">
      <c r="A123" s="345" t="str">
        <v>U013</v>
      </c>
      <c r="B123" s="346" t="str">
        <v>۱۴۰۵/۰۶/۰۴</v>
      </c>
      <c r="C123" s="346" t="str">
        <v>۱۴۰۵/۰۶/۰۵</v>
      </c>
      <c r="D123" s="346" t="n">
        <v>1</v>
      </c>
      <c r="E123" s="346" t="str">
        <v>رفع برخورد و حفظ محدودیت دو درس</v>
      </c>
      <c r="F123" s="346" t="str">
        <v>آسیب‌شناسی روانی</v>
      </c>
      <c r="G123" s="346" t="str">
        <v>شکست/ضعف ← ضریب ← سررسید</v>
      </c>
      <c r="H123" s="346" t="str">
        <v>معتبر/انتقال نهایی</v>
      </c>
      <c r="I123" s="346"/>
      <c r="J123" s="346"/>
      <c r="K123" s="346"/>
      <c r="L123" s="346"/>
      <c r="M123" s="347"/>
    </row>
    <row r="124" ht="26" customHeight="1">
      <c r="A124" s="366" t="str">
        <v>U013</v>
      </c>
      <c r="B124" s="367" t="str">
        <v>۱۴۰۵/۰۶/۱۸</v>
      </c>
      <c r="C124" s="367" t="str">
        <v>۱۴۰۵/۰۶/۱۹</v>
      </c>
      <c r="D124" s="367" t="n">
        <v>1</v>
      </c>
      <c r="E124" s="367" t="str">
        <v>رفع برخورد و حفظ محدودیت دو درس</v>
      </c>
      <c r="F124" s="367" t="str">
        <v>آسیب‌شناسی روانی</v>
      </c>
      <c r="G124" s="367" t="str">
        <v>شکست/ضعف ← ضریب ← سررسید</v>
      </c>
      <c r="H124" s="367" t="str">
        <v>معتبر/انتقال نهایی</v>
      </c>
      <c r="I124" s="367"/>
      <c r="J124" s="367"/>
      <c r="K124" s="367"/>
      <c r="L124" s="367"/>
      <c r="M124" s="368"/>
    </row>
    <row r="125" ht="26" customHeight="1">
      <c r="A125" s="345" t="str">
        <v>U014</v>
      </c>
      <c r="B125" s="346" t="str">
        <v>۱۴۰۵/۰۵/۲۳</v>
      </c>
      <c r="C125" s="346" t="str">
        <v>۱۴۰۵/۰۵/۲۴</v>
      </c>
      <c r="D125" s="346" t="n">
        <v>1</v>
      </c>
      <c r="E125" s="346" t="str">
        <v>رفع برخورد و حفظ محدودیت دو درس</v>
      </c>
      <c r="F125" s="346" t="str">
        <v>آسیب‌شناسی روانی</v>
      </c>
      <c r="G125" s="346" t="str">
        <v>شکست/ضعف ← ضریب ← سررسید</v>
      </c>
      <c r="H125" s="346" t="str">
        <v>معتبر/انتقال نهایی</v>
      </c>
      <c r="I125" s="346"/>
      <c r="J125" s="346"/>
      <c r="K125" s="346"/>
      <c r="L125" s="346"/>
      <c r="M125" s="347"/>
    </row>
    <row r="126" ht="26" customHeight="1">
      <c r="A126" s="366" t="str">
        <v>U014</v>
      </c>
      <c r="B126" s="367" t="str">
        <v>۱۴۰۵/۰۵/۲۵</v>
      </c>
      <c r="C126" s="367" t="str">
        <v>۱۴۰۵/۰۵/۲۶</v>
      </c>
      <c r="D126" s="367" t="n">
        <v>1</v>
      </c>
      <c r="E126" s="367" t="str">
        <v>رفع برخورد و حفظ محدودیت دو درس</v>
      </c>
      <c r="F126" s="367" t="str">
        <v>آسیب‌شناسی روانی</v>
      </c>
      <c r="G126" s="367" t="str">
        <v>شکست/ضعف ← ضریب ← سررسید</v>
      </c>
      <c r="H126" s="367" t="str">
        <v>معتبر/انتقال نهایی</v>
      </c>
      <c r="I126" s="367"/>
      <c r="J126" s="367"/>
      <c r="K126" s="367"/>
      <c r="L126" s="367"/>
      <c r="M126" s="368"/>
    </row>
    <row r="127" ht="26" customHeight="1">
      <c r="A127" s="345" t="str">
        <v>U014</v>
      </c>
      <c r="B127" s="346" t="str">
        <v>۱۴۰۵/۰۵/۲۹</v>
      </c>
      <c r="C127" s="346" t="str">
        <v>۱۴۰۵/۰۵/۲۸</v>
      </c>
      <c r="D127" s="346" t="n">
        <v>-1</v>
      </c>
      <c r="E127" s="346" t="str">
        <v>رفع برخورد و حفظ محدودیت دو درس</v>
      </c>
      <c r="F127" s="346" t="str">
        <v>آسیب‌شناسی روانی</v>
      </c>
      <c r="G127" s="346" t="str">
        <v>شکست/ضعف ← ضریب ← سررسید</v>
      </c>
      <c r="H127" s="346" t="str">
        <v>معتبر/انتقال نهایی</v>
      </c>
      <c r="I127" s="346"/>
      <c r="J127" s="346"/>
      <c r="K127" s="346"/>
      <c r="L127" s="346"/>
      <c r="M127" s="347"/>
    </row>
    <row r="128" ht="26" customHeight="1">
      <c r="A128" s="366" t="str">
        <v>U015</v>
      </c>
      <c r="B128" s="367" t="str">
        <v>۱۴۰۵/۰۵/۲۵</v>
      </c>
      <c r="C128" s="367" t="str">
        <v>۱۴۰۵/۰۵/۲۶</v>
      </c>
      <c r="D128" s="367" t="n">
        <v>1</v>
      </c>
      <c r="E128" s="367" t="str">
        <v>رفع برخورد و حفظ محدودیت دو درس</v>
      </c>
      <c r="F128" s="367" t="str">
        <v>آسیب‌شناسی روانی</v>
      </c>
      <c r="G128" s="367" t="str">
        <v>شکست/ضعف ← ضریب ← سررسید</v>
      </c>
      <c r="H128" s="367" t="str">
        <v>معتبر/انتقال نهایی</v>
      </c>
      <c r="I128" s="367"/>
      <c r="J128" s="367"/>
      <c r="K128" s="367"/>
      <c r="L128" s="367"/>
      <c r="M128" s="368"/>
    </row>
    <row r="129" ht="26" customHeight="1">
      <c r="A129" s="345" t="str">
        <v>U015</v>
      </c>
      <c r="B129" s="346" t="str">
        <v>۱۴۰۵/۰۵/۲۷</v>
      </c>
      <c r="C129" s="346" t="str">
        <v>۱۴۰۵/۰۵/۲۸</v>
      </c>
      <c r="D129" s="346" t="n">
        <v>1</v>
      </c>
      <c r="E129" s="346" t="str">
        <v>رفع برخورد و حفظ محدودیت دو درس</v>
      </c>
      <c r="F129" s="346" t="str">
        <v>آسیب‌شناسی روانی</v>
      </c>
      <c r="G129" s="346" t="str">
        <v>شکست/ضعف ← ضریب ← سررسید</v>
      </c>
      <c r="H129" s="346" t="str">
        <v>معتبر/انتقال نهایی</v>
      </c>
      <c r="I129" s="346"/>
      <c r="J129" s="346"/>
      <c r="K129" s="346"/>
      <c r="L129" s="346"/>
      <c r="M129" s="347"/>
    </row>
    <row r="130" ht="26" customHeight="1">
      <c r="A130" s="366" t="str">
        <v>U016</v>
      </c>
      <c r="B130" s="367" t="str">
        <v>۱۴۰۵/۰۵/۲۷</v>
      </c>
      <c r="C130" s="367" t="str">
        <v>۱۴۰۵/۰۵/۲۸</v>
      </c>
      <c r="D130" s="367" t="n">
        <v>1</v>
      </c>
      <c r="E130" s="367" t="str">
        <v>رفع برخورد و حفظ محدودیت دو درس</v>
      </c>
      <c r="F130" s="367" t="str">
        <v>آسیب‌شناسی روانی</v>
      </c>
      <c r="G130" s="367" t="str">
        <v>شکست/ضعف ← ضریب ← سررسید</v>
      </c>
      <c r="H130" s="367" t="str">
        <v>معتبر/انتقال نهایی</v>
      </c>
      <c r="I130" s="367"/>
      <c r="J130" s="367"/>
      <c r="K130" s="367"/>
      <c r="L130" s="367"/>
      <c r="M130" s="368"/>
    </row>
    <row r="131" ht="26" customHeight="1">
      <c r="A131" s="345" t="str">
        <v>U016</v>
      </c>
      <c r="B131" s="346" t="str">
        <v>۱۴۰۵/۰۵/۲۹</v>
      </c>
      <c r="C131" s="346" t="str">
        <v>۱۴۰۵/۰۵/۲۸</v>
      </c>
      <c r="D131" s="346" t="n">
        <v>-1</v>
      </c>
      <c r="E131" s="346" t="str">
        <v>رفع برخورد و حفظ محدودیت دو درس</v>
      </c>
      <c r="F131" s="346" t="str">
        <v>آسیب‌شناسی روانی</v>
      </c>
      <c r="G131" s="346" t="str">
        <v>شکست/ضعف ← ضریب ← سررسید</v>
      </c>
      <c r="H131" s="346" t="str">
        <v>معتبر/انتقال نهایی</v>
      </c>
      <c r="I131" s="346"/>
      <c r="J131" s="346"/>
      <c r="K131" s="346"/>
      <c r="L131" s="346"/>
      <c r="M131" s="347"/>
    </row>
    <row r="132" ht="26" customHeight="1">
      <c r="A132" s="366" t="str">
        <v>U017</v>
      </c>
      <c r="B132" s="367" t="str">
        <v>۱۴۰۵/۰۵/۲۹</v>
      </c>
      <c r="C132" s="367" t="str">
        <v>۱۴۰۵/۰۵/۲۸</v>
      </c>
      <c r="D132" s="367" t="n">
        <v>-1</v>
      </c>
      <c r="E132" s="367" t="str">
        <v>رفع برخورد و حفظ محدودیت دو درس</v>
      </c>
      <c r="F132" s="367" t="str">
        <v>آسیب‌شناسی روانی</v>
      </c>
      <c r="G132" s="367" t="str">
        <v>شکست/ضعف ← ضریب ← سررسید</v>
      </c>
      <c r="H132" s="367" t="str">
        <v>معتبر/انتقال نهایی</v>
      </c>
      <c r="I132" s="367"/>
      <c r="J132" s="367"/>
      <c r="K132" s="367"/>
      <c r="L132" s="367"/>
      <c r="M132" s="368"/>
    </row>
    <row r="133" ht="26" customHeight="1">
      <c r="A133" s="345" t="str">
        <v>U017</v>
      </c>
      <c r="B133" s="346" t="str">
        <v>۱۴۰۵/۰۶/۰۴</v>
      </c>
      <c r="C133" s="346" t="str">
        <v>۱۴۰۵/۰۶/۰۵</v>
      </c>
      <c r="D133" s="346" t="n">
        <v>1</v>
      </c>
      <c r="E133" s="346" t="str">
        <v>رفع برخورد و حفظ محدودیت دو درس</v>
      </c>
      <c r="F133" s="346" t="str">
        <v>آسیب‌شناسی روانی</v>
      </c>
      <c r="G133" s="346" t="str">
        <v>شکست/ضعف ← ضریب ← سررسید</v>
      </c>
      <c r="H133" s="346" t="str">
        <v>معتبر/انتقال نهایی</v>
      </c>
      <c r="I133" s="346"/>
      <c r="J133" s="346"/>
      <c r="K133" s="346"/>
      <c r="L133" s="346"/>
      <c r="M133" s="347"/>
    </row>
    <row r="134" ht="26" customHeight="1">
      <c r="A134" s="366" t="str">
        <v>U017</v>
      </c>
      <c r="B134" s="367" t="str">
        <v>۱۴۰۵/۰۶/۱۱</v>
      </c>
      <c r="C134" s="367" t="str">
        <v>۱۴۰۵/۰۶/۱۲</v>
      </c>
      <c r="D134" s="367" t="n">
        <v>1</v>
      </c>
      <c r="E134" s="367" t="str">
        <v>رفع برخورد و حفظ محدودیت دو درس</v>
      </c>
      <c r="F134" s="367" t="str">
        <v>آسیب‌شناسی روانی</v>
      </c>
      <c r="G134" s="367" t="str">
        <v>شکست/ضعف ← ضریب ← سررسید</v>
      </c>
      <c r="H134" s="367" t="str">
        <v>معتبر/انتقال نهایی</v>
      </c>
      <c r="I134" s="367"/>
      <c r="J134" s="367"/>
      <c r="K134" s="367"/>
      <c r="L134" s="367"/>
      <c r="M134" s="368"/>
    </row>
    <row r="135" ht="26" customHeight="1">
      <c r="A135" s="345" t="str">
        <v>U018</v>
      </c>
      <c r="B135" s="346" t="str">
        <v>۱۴۰۵/۰۶/۰۱</v>
      </c>
      <c r="C135" s="346" t="str">
        <v>۱۴۰۵/۰۶/۰۲</v>
      </c>
      <c r="D135" s="346" t="n">
        <v>1</v>
      </c>
      <c r="E135" s="346" t="str">
        <v>رفع برخورد و حفظ محدودیت دو درس</v>
      </c>
      <c r="F135" s="346" t="str">
        <v>آسیب‌شناسی روانی</v>
      </c>
      <c r="G135" s="346" t="str">
        <v>شکست/ضعف ← ضریب ← سررسید</v>
      </c>
      <c r="H135" s="346" t="str">
        <v>معتبر/انتقال نهایی</v>
      </c>
      <c r="I135" s="346"/>
      <c r="J135" s="346"/>
      <c r="K135" s="346"/>
      <c r="L135" s="346"/>
      <c r="M135" s="347"/>
    </row>
    <row r="136" ht="26" customHeight="1">
      <c r="A136" s="366" t="str">
        <v>U020</v>
      </c>
      <c r="B136" s="367" t="str">
        <v>۱۴۰۵/۰۶/۰۴</v>
      </c>
      <c r="C136" s="367" t="str">
        <v>۱۴۰۵/۰۶/۰۵</v>
      </c>
      <c r="D136" s="367" t="n">
        <v>1</v>
      </c>
      <c r="E136" s="367" t="str">
        <v>رفع برخورد و حفظ محدودیت دو درس</v>
      </c>
      <c r="F136" s="367" t="str">
        <v>آسیب‌شناسی روانی</v>
      </c>
      <c r="G136" s="367" t="str">
        <v>شکست/ضعف ← ضریب ← سررسید</v>
      </c>
      <c r="H136" s="367" t="str">
        <v>معتبر/انتقال نهایی</v>
      </c>
      <c r="I136" s="367"/>
      <c r="J136" s="367"/>
      <c r="K136" s="367"/>
      <c r="L136" s="367"/>
      <c r="M136" s="368"/>
    </row>
    <row r="137" ht="26" customHeight="1">
      <c r="A137" s="345" t="str">
        <v>U020</v>
      </c>
      <c r="B137" s="346" t="str">
        <v>۱۴۰۵/۰۶/۰۶</v>
      </c>
      <c r="C137" s="346" t="str">
        <v>۱۴۰۵/۰۶/۰۷</v>
      </c>
      <c r="D137" s="346" t="n">
        <v>1</v>
      </c>
      <c r="E137" s="346" t="str">
        <v>رفع برخورد و حفظ محدودیت دو درس</v>
      </c>
      <c r="F137" s="346" t="str">
        <v>آسیب‌شناسی روانی</v>
      </c>
      <c r="G137" s="346" t="str">
        <v>شکست/ضعف ← ضریب ← سررسید</v>
      </c>
      <c r="H137" s="346" t="str">
        <v>معتبر/انتقال نهایی</v>
      </c>
      <c r="I137" s="346"/>
      <c r="J137" s="346"/>
      <c r="K137" s="346"/>
      <c r="L137" s="346"/>
      <c r="M137" s="347"/>
    </row>
    <row r="138" ht="26" customHeight="1">
      <c r="A138" s="366" t="str">
        <v>U020</v>
      </c>
      <c r="B138" s="367" t="str">
        <v>۱۴۰۵/۰۶/۳۱</v>
      </c>
      <c r="C138" s="367" t="str">
        <v>۱۴۰۵/۰۷/۰۱</v>
      </c>
      <c r="D138" s="367" t="n">
        <v>1</v>
      </c>
      <c r="E138" s="367" t="str">
        <v>رفع برخورد و حفظ محدودیت دو درس</v>
      </c>
      <c r="F138" s="367" t="str">
        <v>آسیب‌شناسی روانی</v>
      </c>
      <c r="G138" s="367" t="str">
        <v>شکست/ضعف ← ضریب ← سررسید</v>
      </c>
      <c r="H138" s="367" t="str">
        <v>معتبر/انتقال نهایی</v>
      </c>
      <c r="I138" s="367"/>
      <c r="J138" s="367"/>
      <c r="K138" s="367"/>
      <c r="L138" s="367"/>
      <c r="M138" s="368"/>
    </row>
    <row r="139" ht="26" customHeight="1">
      <c r="A139" s="345" t="str">
        <v>U021</v>
      </c>
      <c r="B139" s="346" t="str">
        <v>۱۴۰۵/۰۶/۰۴</v>
      </c>
      <c r="C139" s="346" t="str">
        <v>۱۴۰۵/۰۶/۰۵</v>
      </c>
      <c r="D139" s="346" t="n">
        <v>1</v>
      </c>
      <c r="E139" s="346" t="str">
        <v>رفع برخورد و حفظ محدودیت دو درس</v>
      </c>
      <c r="F139" s="346" t="str">
        <v>آسیب‌شناسی روانی</v>
      </c>
      <c r="G139" s="346" t="str">
        <v>شکست/ضعف ← ضریب ← سررسید</v>
      </c>
      <c r="H139" s="346" t="str">
        <v>معتبر/انتقال نهایی</v>
      </c>
      <c r="I139" s="346"/>
      <c r="J139" s="346"/>
      <c r="K139" s="346"/>
      <c r="L139" s="346"/>
      <c r="M139" s="347"/>
    </row>
    <row r="140" ht="26" customHeight="1">
      <c r="A140" s="366" t="str">
        <v>U021</v>
      </c>
      <c r="B140" s="367" t="str">
        <v>۱۴۰۵/۰۶/۰۶</v>
      </c>
      <c r="C140" s="367" t="str">
        <v>۱۴۰۵/۰۶/۰۷</v>
      </c>
      <c r="D140" s="367" t="n">
        <v>1</v>
      </c>
      <c r="E140" s="367" t="str">
        <v>رفع برخورد و حفظ محدودیت دو درس</v>
      </c>
      <c r="F140" s="367" t="str">
        <v>آسیب‌شناسی روانی</v>
      </c>
      <c r="G140" s="367" t="str">
        <v>شکست/ضعف ← ضریب ← سررسید</v>
      </c>
      <c r="H140" s="367" t="str">
        <v>معتبر/انتقال نهایی</v>
      </c>
      <c r="I140" s="367"/>
      <c r="J140" s="367"/>
      <c r="K140" s="367"/>
      <c r="L140" s="367"/>
      <c r="M140" s="368"/>
    </row>
    <row r="141" ht="26" customHeight="1">
      <c r="A141" s="345" t="str">
        <v>U021</v>
      </c>
      <c r="B141" s="346" t="str">
        <v>۱۴۰۵/۰۶/۳۱</v>
      </c>
      <c r="C141" s="346" t="str">
        <v>۱۴۰۵/۰۷/۰۱</v>
      </c>
      <c r="D141" s="346" t="n">
        <v>1</v>
      </c>
      <c r="E141" s="346" t="str">
        <v>رفع برخورد و حفظ محدودیت دو درس</v>
      </c>
      <c r="F141" s="346" t="str">
        <v>آسیب‌شناسی روانی</v>
      </c>
      <c r="G141" s="346" t="str">
        <v>شکست/ضعف ← ضریب ← سررسید</v>
      </c>
      <c r="H141" s="346" t="str">
        <v>معتبر/انتقال نهایی</v>
      </c>
      <c r="I141" s="346"/>
      <c r="J141" s="346"/>
      <c r="K141" s="346"/>
      <c r="L141" s="346"/>
      <c r="M141" s="347"/>
    </row>
    <row r="142" ht="26" customHeight="1">
      <c r="A142" s="366" t="str">
        <v>U022</v>
      </c>
      <c r="B142" s="367" t="str">
        <v>۱۴۰۵/۰۶/۰۶</v>
      </c>
      <c r="C142" s="367" t="str">
        <v>۱۴۰۵/۰۶/۰۷</v>
      </c>
      <c r="D142" s="367" t="n">
        <v>1</v>
      </c>
      <c r="E142" s="367" t="str">
        <v>رفع برخورد و حفظ محدودیت دو درس</v>
      </c>
      <c r="F142" s="367" t="str">
        <v>آسیب‌شناسی روانی</v>
      </c>
      <c r="G142" s="367" t="str">
        <v>شکست/ضعف ← ضریب ← سررسید</v>
      </c>
      <c r="H142" s="367" t="str">
        <v>معتبر/انتقال نهایی</v>
      </c>
      <c r="I142" s="367"/>
      <c r="J142" s="367"/>
      <c r="K142" s="367"/>
      <c r="L142" s="367"/>
      <c r="M142" s="368"/>
    </row>
    <row r="143" ht="26" customHeight="1">
      <c r="A143" s="345" t="str">
        <v>U023</v>
      </c>
      <c r="B143" s="346" t="str">
        <v>۱۴۰۵/۰۷/۰۴</v>
      </c>
      <c r="C143" s="346" t="str">
        <v>۱۴۰۵/۰۷/۰۵</v>
      </c>
      <c r="D143" s="346" t="n">
        <v>1</v>
      </c>
      <c r="E143" s="346" t="str">
        <v>رفع برخورد و حفظ محدودیت دو درس</v>
      </c>
      <c r="F143" s="346" t="str">
        <v>آسیب‌شناسی روانی</v>
      </c>
      <c r="G143" s="346" t="str">
        <v>شکست/ضعف ← ضریب ← سررسید</v>
      </c>
      <c r="H143" s="346" t="str">
        <v>معتبر/انتقال نهایی</v>
      </c>
      <c r="I143" s="346"/>
      <c r="J143" s="346"/>
      <c r="K143" s="346"/>
      <c r="L143" s="346"/>
      <c r="M143" s="347"/>
    </row>
    <row r="144" ht="26" customHeight="1">
      <c r="A144" s="366" t="str">
        <v>U024</v>
      </c>
      <c r="B144" s="367" t="str">
        <v>۱۴۰۵/۰۶/۱۱</v>
      </c>
      <c r="C144" s="367" t="str">
        <v>۱۴۰۵/۰۶/۱۲</v>
      </c>
      <c r="D144" s="367" t="n">
        <v>1</v>
      </c>
      <c r="E144" s="367" t="str">
        <v>رفع برخورد و حفظ محدودیت دو درس</v>
      </c>
      <c r="F144" s="367" t="str">
        <v>آسیب‌شناسی روانی</v>
      </c>
      <c r="G144" s="367" t="str">
        <v>شکست/ضعف ← ضریب ← سررسید</v>
      </c>
      <c r="H144" s="367" t="str">
        <v>معتبر/انتقال نهایی</v>
      </c>
      <c r="I144" s="367"/>
      <c r="J144" s="367"/>
      <c r="K144" s="367"/>
      <c r="L144" s="367"/>
      <c r="M144" s="368"/>
    </row>
    <row r="145" ht="26" customHeight="1">
      <c r="A145" s="345" t="str">
        <v>U025</v>
      </c>
      <c r="B145" s="346" t="str">
        <v>۱۴۰۵/۰۷/۰۶</v>
      </c>
      <c r="C145" s="346" t="str">
        <v>۱۴۰۵/۰۷/۰۷</v>
      </c>
      <c r="D145" s="346" t="n">
        <v>1</v>
      </c>
      <c r="E145" s="346" t="str">
        <v>رفع برخورد و حفظ محدودیت دو درس</v>
      </c>
      <c r="F145" s="346" t="str">
        <v>آسیب‌شناسی روانی</v>
      </c>
      <c r="G145" s="346" t="str">
        <v>شکست/ضعف ← ضریب ← سررسید</v>
      </c>
      <c r="H145" s="346" t="str">
        <v>معتبر/انتقال نهایی</v>
      </c>
      <c r="I145" s="346"/>
      <c r="J145" s="346"/>
      <c r="K145" s="346"/>
      <c r="L145" s="346"/>
      <c r="M145" s="347"/>
    </row>
    <row r="146" ht="26" customHeight="1">
      <c r="A146" s="366" t="str">
        <v>U026</v>
      </c>
      <c r="B146" s="367" t="str">
        <v>۱۴۰۵/۰۶/۱۱</v>
      </c>
      <c r="C146" s="367" t="str">
        <v>۱۴۰۵/۰۶/۱۲</v>
      </c>
      <c r="D146" s="367" t="n">
        <v>1</v>
      </c>
      <c r="E146" s="367" t="str">
        <v>رفع برخورد و حفظ محدودیت دو درس</v>
      </c>
      <c r="F146" s="367" t="str">
        <v>آسیب‌شناسی روانی</v>
      </c>
      <c r="G146" s="367" t="str">
        <v>شکست/ضعف ← ضریب ← سررسید</v>
      </c>
      <c r="H146" s="367" t="str">
        <v>معتبر/انتقال نهایی</v>
      </c>
      <c r="I146" s="367"/>
      <c r="J146" s="367"/>
      <c r="K146" s="367"/>
      <c r="L146" s="367"/>
      <c r="M146" s="368"/>
    </row>
    <row r="147" ht="26" customHeight="1">
      <c r="A147" s="345" t="str">
        <v>U026</v>
      </c>
      <c r="B147" s="346" t="str">
        <v>۱۴۰۵/۰۶/۱۳</v>
      </c>
      <c r="C147" s="346" t="str">
        <v>۱۴۰۵/۰۶/۱۴</v>
      </c>
      <c r="D147" s="346" t="n">
        <v>1</v>
      </c>
      <c r="E147" s="346" t="str">
        <v>رفع برخورد و حفظ محدودیت دو درس</v>
      </c>
      <c r="F147" s="346" t="str">
        <v>آسیب‌شناسی روانی</v>
      </c>
      <c r="G147" s="346" t="str">
        <v>شکست/ضعف ← ضریب ← سررسید</v>
      </c>
      <c r="H147" s="346" t="str">
        <v>معتبر/انتقال نهایی</v>
      </c>
      <c r="I147" s="346"/>
      <c r="J147" s="346"/>
      <c r="K147" s="346"/>
      <c r="L147" s="346"/>
      <c r="M147" s="347"/>
    </row>
    <row r="148" ht="26" customHeight="1">
      <c r="A148" s="366" t="str">
        <v>U026</v>
      </c>
      <c r="B148" s="367" t="str">
        <v>۱۴۰۵/۰۶/۲۴</v>
      </c>
      <c r="C148" s="367" t="str">
        <v>۱۴۰۵/۰۶/۲۵</v>
      </c>
      <c r="D148" s="367" t="n">
        <v>1</v>
      </c>
      <c r="E148" s="367" t="str">
        <v>رفع برخورد و حفظ محدودیت دو درس</v>
      </c>
      <c r="F148" s="367" t="str">
        <v>آسیب‌شناسی روانی</v>
      </c>
      <c r="G148" s="367" t="str">
        <v>شکست/ضعف ← ضریب ← سررسید</v>
      </c>
      <c r="H148" s="367" t="str">
        <v>معتبر/انتقال نهایی</v>
      </c>
      <c r="I148" s="367"/>
      <c r="J148" s="367"/>
      <c r="K148" s="367"/>
      <c r="L148" s="367"/>
      <c r="M148" s="368"/>
    </row>
    <row r="149" ht="26" customHeight="1">
      <c r="A149" s="345" t="str">
        <v>U027</v>
      </c>
      <c r="B149" s="346" t="str">
        <v>۱۴۰۵/۰۶/۱۳</v>
      </c>
      <c r="C149" s="346" t="str">
        <v>۱۴۰۵/۰۶/۱۴</v>
      </c>
      <c r="D149" s="346" t="n">
        <v>1</v>
      </c>
      <c r="E149" s="346" t="str">
        <v>رفع برخورد و حفظ محدودیت دو درس</v>
      </c>
      <c r="F149" s="346" t="str">
        <v>آسیب‌شناسی روانی</v>
      </c>
      <c r="G149" s="346" t="str">
        <v>شکست/ضعف ← ضریب ← سررسید</v>
      </c>
      <c r="H149" s="346" t="str">
        <v>معتبر/انتقال نهایی</v>
      </c>
      <c r="I149" s="346"/>
      <c r="J149" s="346"/>
      <c r="K149" s="346"/>
      <c r="L149" s="346"/>
      <c r="M149" s="347"/>
    </row>
    <row r="150" ht="26" customHeight="1">
      <c r="A150" s="366" t="str">
        <v>U027</v>
      </c>
      <c r="B150" s="367" t="str">
        <v>۱۴۰۵/۰۶/۲۶</v>
      </c>
      <c r="C150" s="367" t="str">
        <v>۱۴۰۵/۰۶/۲۵</v>
      </c>
      <c r="D150" s="367" t="n">
        <v>-1</v>
      </c>
      <c r="E150" s="367" t="str">
        <v>رفع برخورد و حفظ محدودیت دو درس</v>
      </c>
      <c r="F150" s="367" t="str">
        <v>آسیب‌شناسی روانی</v>
      </c>
      <c r="G150" s="367" t="str">
        <v>شکست/ضعف ← ضریب ← سررسید</v>
      </c>
      <c r="H150" s="367" t="str">
        <v>معتبر/انتقال نهایی</v>
      </c>
      <c r="I150" s="367"/>
      <c r="J150" s="367"/>
      <c r="K150" s="367"/>
      <c r="L150" s="367"/>
      <c r="M150" s="368"/>
    </row>
    <row r="151" ht="26" customHeight="1">
      <c r="A151" s="345" t="str">
        <v>U028</v>
      </c>
      <c r="B151" s="346" t="str">
        <v>۱۴۰۵/۰۷/۱۱</v>
      </c>
      <c r="C151" s="346" t="str">
        <v>۱۴۰۵/۰۷/۱۲</v>
      </c>
      <c r="D151" s="346" t="n">
        <v>1</v>
      </c>
      <c r="E151" s="346" t="str">
        <v>رفع برخورد و حفظ محدودیت دو درس</v>
      </c>
      <c r="F151" s="346" t="str">
        <v>آسیب‌شناسی روانی</v>
      </c>
      <c r="G151" s="346" t="str">
        <v>شکست/ضعف ← ضریب ← سررسید</v>
      </c>
      <c r="H151" s="346" t="str">
        <v>معتبر/انتقال نهایی</v>
      </c>
      <c r="I151" s="346"/>
      <c r="J151" s="346"/>
      <c r="K151" s="346"/>
      <c r="L151" s="346"/>
      <c r="M151" s="347"/>
    </row>
    <row r="152" ht="26" customHeight="1">
      <c r="A152" s="366" t="str">
        <v>U029</v>
      </c>
      <c r="B152" s="367" t="str">
        <v>۱۴۰۵/۰۶/۱۸</v>
      </c>
      <c r="C152" s="367" t="str">
        <v>۱۴۰۵/۰۶/۱۹</v>
      </c>
      <c r="D152" s="367" t="n">
        <v>1</v>
      </c>
      <c r="E152" s="367" t="str">
        <v>رفع برخورد و حفظ محدودیت دو درس</v>
      </c>
      <c r="F152" s="367" t="str">
        <v>آسیب‌شناسی روانی</v>
      </c>
      <c r="G152" s="367" t="str">
        <v>شکست/ضعف ← ضریب ← سررسید</v>
      </c>
      <c r="H152" s="367" t="str">
        <v>معتبر/انتقال نهایی</v>
      </c>
      <c r="I152" s="367"/>
      <c r="J152" s="367"/>
      <c r="K152" s="367"/>
      <c r="L152" s="367"/>
      <c r="M152" s="368"/>
    </row>
    <row r="153" ht="26" customHeight="1">
      <c r="A153" s="345" t="str">
        <v>U029</v>
      </c>
      <c r="B153" s="346" t="str">
        <v>۱۴۰۵/۰۶/۲۹</v>
      </c>
      <c r="C153" s="346" t="str">
        <v>۱۴۰۵/۰۶/۳۰</v>
      </c>
      <c r="D153" s="346" t="n">
        <v>1</v>
      </c>
      <c r="E153" s="346" t="str">
        <v>رفع برخورد و حفظ محدودیت دو درس</v>
      </c>
      <c r="F153" s="346" t="str">
        <v>آسیب‌شناسی روانی</v>
      </c>
      <c r="G153" s="346" t="str">
        <v>شکست/ضعف ← ضریب ← سررسید</v>
      </c>
      <c r="H153" s="346" t="str">
        <v>معتبر/انتقال نهایی</v>
      </c>
      <c r="I153" s="346"/>
      <c r="J153" s="346"/>
      <c r="K153" s="346"/>
      <c r="L153" s="346"/>
      <c r="M153" s="347"/>
    </row>
    <row r="154" ht="26" customHeight="1">
      <c r="A154" s="366" t="str">
        <v>U030</v>
      </c>
      <c r="B154" s="367" t="str">
        <v>۱۴۰۵/۰۷/۱۳</v>
      </c>
      <c r="C154" s="367" t="str">
        <v>۱۴۰۵/۰۷/۱۴</v>
      </c>
      <c r="D154" s="367" t="n">
        <v>1</v>
      </c>
      <c r="E154" s="367" t="str">
        <v>رفع برخورد و حفظ محدودیت دو درس</v>
      </c>
      <c r="F154" s="367" t="str">
        <v>آسیب‌شناسی روانی</v>
      </c>
      <c r="G154" s="367" t="str">
        <v>شکست/ضعف ← ضریب ← سررسید</v>
      </c>
      <c r="H154" s="367" t="str">
        <v>معتبر/انتقال نهایی</v>
      </c>
      <c r="I154" s="367"/>
      <c r="J154" s="367"/>
      <c r="K154" s="367"/>
      <c r="L154" s="367"/>
      <c r="M154" s="368"/>
    </row>
    <row r="155" ht="26" customHeight="1">
      <c r="A155" s="345" t="str">
        <v>U031</v>
      </c>
      <c r="B155" s="346" t="str">
        <v>۱۴۰۵/۰۶/۱۸</v>
      </c>
      <c r="C155" s="346" t="str">
        <v>۱۴۰۵/۰۶/۱۹</v>
      </c>
      <c r="D155" s="346" t="n">
        <v>1</v>
      </c>
      <c r="E155" s="346" t="str">
        <v>رفع برخورد و حفظ محدودیت دو درس</v>
      </c>
      <c r="F155" s="346" t="str">
        <v>آسیب‌شناسی روانی</v>
      </c>
      <c r="G155" s="346" t="str">
        <v>شکست/ضعف ← ضریب ← سررسید</v>
      </c>
      <c r="H155" s="346" t="str">
        <v>معتبر/انتقال نهایی</v>
      </c>
      <c r="I155" s="346"/>
      <c r="J155" s="346"/>
      <c r="K155" s="346"/>
      <c r="L155" s="346"/>
      <c r="M155" s="347"/>
    </row>
    <row r="156" ht="26" customHeight="1">
      <c r="A156" s="366" t="str">
        <v>U031</v>
      </c>
      <c r="B156" s="367" t="str">
        <v>۱۴۰۵/۰۶/۲۰</v>
      </c>
      <c r="C156" s="367" t="str">
        <v>۱۴۰۵/۰۶/۲۱</v>
      </c>
      <c r="D156" s="367" t="n">
        <v>1</v>
      </c>
      <c r="E156" s="367" t="str">
        <v>رفع برخورد و حفظ محدودیت دو درس</v>
      </c>
      <c r="F156" s="367" t="str">
        <v>آسیب‌شناسی روانی</v>
      </c>
      <c r="G156" s="367" t="str">
        <v>شکست/ضعف ← ضریب ← سررسید</v>
      </c>
      <c r="H156" s="367" t="str">
        <v>معتبر/انتقال نهایی</v>
      </c>
      <c r="I156" s="367"/>
      <c r="J156" s="367"/>
      <c r="K156" s="367"/>
      <c r="L156" s="367"/>
      <c r="M156" s="368"/>
    </row>
    <row r="157" ht="26" customHeight="1">
      <c r="A157" s="345" t="str">
        <v>U031</v>
      </c>
      <c r="B157" s="346" t="str">
        <v>۱۴۰۵/۰۶/۲۴</v>
      </c>
      <c r="C157" s="346" t="str">
        <v>۱۴۰۵/۰۶/۲۵</v>
      </c>
      <c r="D157" s="346" t="n">
        <v>1</v>
      </c>
      <c r="E157" s="346" t="str">
        <v>رفع برخورد و حفظ محدودیت دو درس</v>
      </c>
      <c r="F157" s="346" t="str">
        <v>آسیب‌شناسی روانی</v>
      </c>
      <c r="G157" s="346" t="str">
        <v>شکست/ضعف ← ضریب ← سررسید</v>
      </c>
      <c r="H157" s="346" t="str">
        <v>معتبر/انتقال نهایی</v>
      </c>
      <c r="I157" s="346"/>
      <c r="J157" s="346"/>
      <c r="K157" s="346"/>
      <c r="L157" s="346"/>
      <c r="M157" s="347"/>
    </row>
    <row r="158" ht="26" customHeight="1">
      <c r="A158" s="366" t="str">
        <v>U031</v>
      </c>
      <c r="B158" s="367" t="str">
        <v>۱۴۰۵/۰۶/۳۱</v>
      </c>
      <c r="C158" s="367" t="str">
        <v>۱۴۰۵/۰۷/۰۱</v>
      </c>
      <c r="D158" s="367" t="n">
        <v>1</v>
      </c>
      <c r="E158" s="367" t="str">
        <v>رفع برخورد و حفظ محدودیت دو درس</v>
      </c>
      <c r="F158" s="367" t="str">
        <v>آسیب‌شناسی روانی</v>
      </c>
      <c r="G158" s="367" t="str">
        <v>شکست/ضعف ← ضریب ← سررسید</v>
      </c>
      <c r="H158" s="367" t="str">
        <v>معتبر/انتقال نهایی</v>
      </c>
      <c r="I158" s="367"/>
      <c r="J158" s="367"/>
      <c r="K158" s="367"/>
      <c r="L158" s="367"/>
      <c r="M158" s="368"/>
    </row>
    <row r="159" ht="26" customHeight="1">
      <c r="A159" s="345" t="str">
        <v>U032</v>
      </c>
      <c r="B159" s="346" t="str">
        <v>۱۴۰۵/۰۶/۱۸</v>
      </c>
      <c r="C159" s="346" t="str">
        <v>۱۴۰۵/۰۶/۱۹</v>
      </c>
      <c r="D159" s="346" t="n">
        <v>1</v>
      </c>
      <c r="E159" s="346" t="str">
        <v>رفع برخورد و حفظ محدودیت دو درس</v>
      </c>
      <c r="F159" s="346" t="str">
        <v>آسیب‌شناسی روانی</v>
      </c>
      <c r="G159" s="346" t="str">
        <v>شکست/ضعف ← ضریب ← سررسید</v>
      </c>
      <c r="H159" s="346" t="str">
        <v>معتبر/انتقال نهایی</v>
      </c>
      <c r="I159" s="346"/>
      <c r="J159" s="346"/>
      <c r="K159" s="346"/>
      <c r="L159" s="346"/>
      <c r="M159" s="347"/>
    </row>
    <row r="160" ht="26" customHeight="1">
      <c r="A160" s="366" t="str">
        <v>U032</v>
      </c>
      <c r="B160" s="367" t="str">
        <v>۱۴۰۵/۰۶/۲۰</v>
      </c>
      <c r="C160" s="367" t="str">
        <v>۱۴۰۵/۰۶/۲۱</v>
      </c>
      <c r="D160" s="367" t="n">
        <v>1</v>
      </c>
      <c r="E160" s="367" t="str">
        <v>رفع برخورد و حفظ محدودیت دو درس</v>
      </c>
      <c r="F160" s="367" t="str">
        <v>آسیب‌شناسی روانی</v>
      </c>
      <c r="G160" s="367" t="str">
        <v>شکست/ضعف ← ضریب ← سررسید</v>
      </c>
      <c r="H160" s="367" t="str">
        <v>معتبر/انتقال نهایی</v>
      </c>
      <c r="I160" s="367"/>
      <c r="J160" s="367"/>
      <c r="K160" s="367"/>
      <c r="L160" s="367"/>
      <c r="M160" s="368"/>
    </row>
    <row r="161" ht="26" customHeight="1">
      <c r="A161" s="345" t="str">
        <v>U032</v>
      </c>
      <c r="B161" s="346" t="str">
        <v>۱۴۰۵/۰۶/۲۴</v>
      </c>
      <c r="C161" s="346" t="str">
        <v>۱۴۰۵/۰۶/۲۵</v>
      </c>
      <c r="D161" s="346" t="n">
        <v>1</v>
      </c>
      <c r="E161" s="346" t="str">
        <v>رفع برخورد و حفظ محدودیت دو درس</v>
      </c>
      <c r="F161" s="346" t="str">
        <v>آسیب‌شناسی روانی</v>
      </c>
      <c r="G161" s="346" t="str">
        <v>شکست/ضعف ← ضریب ← سررسید</v>
      </c>
      <c r="H161" s="346" t="str">
        <v>معتبر/انتقال نهایی</v>
      </c>
      <c r="I161" s="346"/>
      <c r="J161" s="346"/>
      <c r="K161" s="346"/>
      <c r="L161" s="346"/>
      <c r="M161" s="347"/>
    </row>
    <row r="162" ht="26" customHeight="1">
      <c r="A162" s="366" t="str">
        <v>U032</v>
      </c>
      <c r="B162" s="367" t="str">
        <v>۱۴۰۵/۰۶/۳۱</v>
      </c>
      <c r="C162" s="367" t="str">
        <v>۱۴۰۵/۰۷/۰۱</v>
      </c>
      <c r="D162" s="367" t="n">
        <v>1</v>
      </c>
      <c r="E162" s="367" t="str">
        <v>رفع برخورد و حفظ محدودیت دو درس</v>
      </c>
      <c r="F162" s="367" t="str">
        <v>آسیب‌شناسی روانی</v>
      </c>
      <c r="G162" s="367" t="str">
        <v>شکست/ضعف ← ضریب ← سررسید</v>
      </c>
      <c r="H162" s="367" t="str">
        <v>معتبر/انتقال نهایی</v>
      </c>
      <c r="I162" s="367"/>
      <c r="J162" s="367"/>
      <c r="K162" s="367"/>
      <c r="L162" s="367"/>
      <c r="M162" s="368"/>
    </row>
    <row r="163" ht="26" customHeight="1">
      <c r="A163" s="345" t="str">
        <v>U033</v>
      </c>
      <c r="B163" s="346" t="str">
        <v>۱۴۰۵/۰۶/۲۰</v>
      </c>
      <c r="C163" s="346" t="str">
        <v>۱۴۰۵/۰۶/۲۱</v>
      </c>
      <c r="D163" s="346" t="n">
        <v>1</v>
      </c>
      <c r="E163" s="346" t="str">
        <v>رفع برخورد و حفظ محدودیت دو درس</v>
      </c>
      <c r="F163" s="346" t="str">
        <v>آسیب‌شناسی روانی</v>
      </c>
      <c r="G163" s="346" t="str">
        <v>شکست/ضعف ← ضریب ← سررسید</v>
      </c>
      <c r="H163" s="346" t="str">
        <v>معتبر/انتقال نهایی</v>
      </c>
      <c r="I163" s="346"/>
      <c r="J163" s="346"/>
      <c r="K163" s="346"/>
      <c r="L163" s="346"/>
      <c r="M163" s="347"/>
    </row>
    <row r="164" ht="26" customHeight="1">
      <c r="A164" s="366" t="str">
        <v>U033</v>
      </c>
      <c r="B164" s="367" t="str">
        <v>۱۴۰۵/۰۶/۲۶</v>
      </c>
      <c r="C164" s="367" t="str">
        <v>۱۴۰۵/۰۶/۲۵</v>
      </c>
      <c r="D164" s="367" t="n">
        <v>-1</v>
      </c>
      <c r="E164" s="367" t="str">
        <v>رفع برخورد و حفظ محدودیت دو درس</v>
      </c>
      <c r="F164" s="367" t="str">
        <v>آسیب‌شناسی روانی</v>
      </c>
      <c r="G164" s="367" t="str">
        <v>شکست/ضعف ← ضریب ← سررسید</v>
      </c>
      <c r="H164" s="367" t="str">
        <v>معتبر/انتقال نهایی</v>
      </c>
      <c r="I164" s="367"/>
      <c r="J164" s="367"/>
      <c r="K164" s="367"/>
      <c r="L164" s="367"/>
      <c r="M164" s="368"/>
    </row>
    <row r="165" ht="26" customHeight="1">
      <c r="A165" s="345" t="str">
        <v>U034</v>
      </c>
      <c r="B165" s="346" t="str">
        <v>۱۴۰۵/۰۶/۲۴</v>
      </c>
      <c r="C165" s="346" t="str">
        <v>۱۴۰۵/۰۶/۲۵</v>
      </c>
      <c r="D165" s="346" t="n">
        <v>1</v>
      </c>
      <c r="E165" s="346" t="str">
        <v>رفع برخورد و حفظ محدودیت دو درس</v>
      </c>
      <c r="F165" s="346" t="str">
        <v>آسیب‌شناسی روانی</v>
      </c>
      <c r="G165" s="346" t="str">
        <v>شکست/ضعف ← ضریب ← سررسید</v>
      </c>
      <c r="H165" s="346" t="str">
        <v>معتبر/انتقال نهایی</v>
      </c>
      <c r="I165" s="346"/>
      <c r="J165" s="346"/>
      <c r="K165" s="346"/>
      <c r="L165" s="346"/>
      <c r="M165" s="347"/>
    </row>
    <row r="166" ht="26" customHeight="1">
      <c r="A166" s="366" t="str">
        <v>U034</v>
      </c>
      <c r="B166" s="367" t="str">
        <v>۱۴۰۵/۰۷/۰۴</v>
      </c>
      <c r="C166" s="367" t="str">
        <v>۱۴۰۵/۰۷/۰۵</v>
      </c>
      <c r="D166" s="367" t="n">
        <v>1</v>
      </c>
      <c r="E166" s="367" t="str">
        <v>رفع برخورد و حفظ محدودیت دو درس</v>
      </c>
      <c r="F166" s="367" t="str">
        <v>آسیب‌شناسی روانی</v>
      </c>
      <c r="G166" s="367" t="str">
        <v>شکست/ضعف ← ضریب ← سررسید</v>
      </c>
      <c r="H166" s="367" t="str">
        <v>معتبر/انتقال نهایی</v>
      </c>
      <c r="I166" s="367"/>
      <c r="J166" s="367"/>
      <c r="K166" s="367"/>
      <c r="L166" s="367"/>
      <c r="M166" s="368"/>
    </row>
    <row r="167" ht="26" customHeight="1">
      <c r="A167" s="345" t="str">
        <v>U034</v>
      </c>
      <c r="B167" s="346" t="str">
        <v>۱۴۰۵/۰۷/۱۸</v>
      </c>
      <c r="C167" s="346" t="str">
        <v>۱۴۰۵/۰۷/۱۹</v>
      </c>
      <c r="D167" s="346" t="n">
        <v>1</v>
      </c>
      <c r="E167" s="346" t="str">
        <v>رفع برخورد و حفظ محدودیت دو درس</v>
      </c>
      <c r="F167" s="346" t="str">
        <v>آسیب‌شناسی روانی</v>
      </c>
      <c r="G167" s="346" t="str">
        <v>شکست/ضعف ← ضریب ← سررسید</v>
      </c>
      <c r="H167" s="346" t="str">
        <v>معتبر/انتقال نهایی</v>
      </c>
      <c r="I167" s="346"/>
      <c r="J167" s="346"/>
      <c r="K167" s="346"/>
      <c r="L167" s="346"/>
      <c r="M167" s="347"/>
    </row>
    <row r="168" ht="26" customHeight="1">
      <c r="A168" s="366" t="str">
        <v>U035</v>
      </c>
      <c r="B168" s="367" t="str">
        <v>۱۴۰۵/۰۶/۲۴</v>
      </c>
      <c r="C168" s="367" t="str">
        <v>۱۴۰۵/۰۶/۲۵</v>
      </c>
      <c r="D168" s="367" t="n">
        <v>1</v>
      </c>
      <c r="E168" s="367" t="str">
        <v>رفع برخورد و حفظ محدودیت دو درس</v>
      </c>
      <c r="F168" s="367" t="str">
        <v>آسیب‌شناسی روانی</v>
      </c>
      <c r="G168" s="367" t="str">
        <v>شکست/ضعف ← ضریب ← سررسید</v>
      </c>
      <c r="H168" s="367" t="str">
        <v>معتبر/انتقال نهایی</v>
      </c>
      <c r="I168" s="367"/>
      <c r="J168" s="367"/>
      <c r="K168" s="367"/>
      <c r="L168" s="367"/>
      <c r="M168" s="368"/>
    </row>
    <row r="169" ht="26" customHeight="1">
      <c r="A169" s="345" t="str">
        <v>U035</v>
      </c>
      <c r="B169" s="346" t="str">
        <v>۱۴۰۵/۰۷/۰۴</v>
      </c>
      <c r="C169" s="346" t="str">
        <v>۱۴۰۵/۰۷/۰۵</v>
      </c>
      <c r="D169" s="346" t="n">
        <v>1</v>
      </c>
      <c r="E169" s="346" t="str">
        <v>رفع برخورد و حفظ محدودیت دو درس</v>
      </c>
      <c r="F169" s="346" t="str">
        <v>آسیب‌شناسی روانی</v>
      </c>
      <c r="G169" s="346" t="str">
        <v>شکست/ضعف ← ضریب ← سررسید</v>
      </c>
      <c r="H169" s="346" t="str">
        <v>معتبر/انتقال نهایی</v>
      </c>
      <c r="I169" s="346"/>
      <c r="J169" s="346"/>
      <c r="K169" s="346"/>
      <c r="L169" s="346"/>
      <c r="M169" s="347"/>
    </row>
    <row r="170" ht="26" customHeight="1">
      <c r="A170" s="366" t="str">
        <v>U035</v>
      </c>
      <c r="B170" s="367" t="str">
        <v>۱۴۰۵/۰۷/۱۸</v>
      </c>
      <c r="C170" s="367" t="str">
        <v>۱۴۰۵/۰۷/۱۹</v>
      </c>
      <c r="D170" s="367" t="n">
        <v>1</v>
      </c>
      <c r="E170" s="367" t="str">
        <v>رفع برخورد و حفظ محدودیت دو درس</v>
      </c>
      <c r="F170" s="367" t="str">
        <v>آسیب‌شناسی روانی</v>
      </c>
      <c r="G170" s="367" t="str">
        <v>شکست/ضعف ← ضریب ← سررسید</v>
      </c>
      <c r="H170" s="367" t="str">
        <v>معتبر/انتقال نهایی</v>
      </c>
      <c r="I170" s="367"/>
      <c r="J170" s="367"/>
      <c r="K170" s="367"/>
      <c r="L170" s="367"/>
      <c r="M170" s="368"/>
    </row>
    <row r="171" ht="26" customHeight="1">
      <c r="A171" s="345" t="str">
        <v>U036</v>
      </c>
      <c r="B171" s="346" t="str">
        <v>۱۴۰۵/۰۶/۲۹</v>
      </c>
      <c r="C171" s="346" t="str">
        <v>۱۴۰۵/۰۶/۳۰</v>
      </c>
      <c r="D171" s="346" t="n">
        <v>1</v>
      </c>
      <c r="E171" s="346" t="str">
        <v>رفع برخورد و حفظ محدودیت دو درس</v>
      </c>
      <c r="F171" s="346" t="str">
        <v>آسیب‌شناسی روانی</v>
      </c>
      <c r="G171" s="346" t="str">
        <v>شکست/ضعف ← ضریب ← سررسید</v>
      </c>
      <c r="H171" s="346" t="str">
        <v>معتبر/انتقال نهایی</v>
      </c>
      <c r="I171" s="346"/>
      <c r="J171" s="346"/>
      <c r="K171" s="346"/>
      <c r="L171" s="346"/>
      <c r="M171" s="347"/>
    </row>
    <row r="172" ht="26" customHeight="1">
      <c r="A172" s="366" t="str">
        <v>U037</v>
      </c>
      <c r="B172" s="367" t="str">
        <v>۱۴۰۵/۰۶/۲۴</v>
      </c>
      <c r="C172" s="367" t="str">
        <v>۱۴۰۵/۰۶/۲۵</v>
      </c>
      <c r="D172" s="367" t="n">
        <v>1</v>
      </c>
      <c r="E172" s="367" t="str">
        <v>رفع برخورد و حفظ محدودیت دو درس</v>
      </c>
      <c r="F172" s="367" t="str">
        <v>آسیب‌شناسی روانی</v>
      </c>
      <c r="G172" s="367" t="str">
        <v>شکست/ضعف ← ضریب ← سررسید</v>
      </c>
      <c r="H172" s="367" t="str">
        <v>معتبر/انتقال نهایی</v>
      </c>
      <c r="I172" s="367"/>
      <c r="J172" s="367"/>
      <c r="K172" s="367"/>
      <c r="L172" s="367"/>
      <c r="M172" s="368"/>
    </row>
    <row r="173" ht="26" customHeight="1">
      <c r="A173" s="345" t="str">
        <v>U037</v>
      </c>
      <c r="B173" s="346" t="str">
        <v>۱۴۰۵/۰۶/۲۶</v>
      </c>
      <c r="C173" s="346" t="str">
        <v>۱۴۰۵/۰۶/۲۵</v>
      </c>
      <c r="D173" s="346" t="n">
        <v>-1</v>
      </c>
      <c r="E173" s="346" t="str">
        <v>رفع برخورد و حفظ محدودیت دو درس</v>
      </c>
      <c r="F173" s="346" t="str">
        <v>آسیب‌شناسی روانی</v>
      </c>
      <c r="G173" s="346" t="str">
        <v>شکست/ضعف ← ضریب ← سررسید</v>
      </c>
      <c r="H173" s="346" t="str">
        <v>معتبر/انتقال نهایی</v>
      </c>
      <c r="I173" s="346"/>
      <c r="J173" s="346"/>
      <c r="K173" s="346"/>
      <c r="L173" s="346"/>
      <c r="M173" s="347"/>
    </row>
    <row r="174" ht="26" customHeight="1">
      <c r="A174" s="366" t="str">
        <v>U037</v>
      </c>
      <c r="B174" s="367" t="str">
        <v>۱۴۰۵/۰۷/۰۶</v>
      </c>
      <c r="C174" s="367" t="str">
        <v>۱۴۰۵/۰۷/۰۷</v>
      </c>
      <c r="D174" s="367" t="n">
        <v>1</v>
      </c>
      <c r="E174" s="367" t="str">
        <v>رفع برخورد و حفظ محدودیت دو درس</v>
      </c>
      <c r="F174" s="367" t="str">
        <v>آسیب‌شناسی روانی</v>
      </c>
      <c r="G174" s="367" t="str">
        <v>شکست/ضعف ← ضریب ← سررسید</v>
      </c>
      <c r="H174" s="367" t="str">
        <v>معتبر/انتقال نهایی</v>
      </c>
      <c r="I174" s="367"/>
      <c r="J174" s="367"/>
      <c r="K174" s="367"/>
      <c r="L174" s="367"/>
      <c r="M174" s="368"/>
    </row>
    <row r="175" ht="26" customHeight="1">
      <c r="A175" s="345" t="str">
        <v>U037</v>
      </c>
      <c r="B175" s="346" t="str">
        <v>۱۴۰۵/۰۷/۲۰</v>
      </c>
      <c r="C175" s="346" t="str">
        <v>۱۴۰۵/۰۷/۲۱</v>
      </c>
      <c r="D175" s="346" t="n">
        <v>1</v>
      </c>
      <c r="E175" s="346" t="str">
        <v>رفع برخورد و حفظ محدودیت دو درس</v>
      </c>
      <c r="F175" s="346" t="str">
        <v>آسیب‌شناسی روانی</v>
      </c>
      <c r="G175" s="346" t="str">
        <v>شکست/ضعف ← ضریب ← سررسید</v>
      </c>
      <c r="H175" s="346" t="str">
        <v>معتبر/انتقال نهایی</v>
      </c>
      <c r="I175" s="346"/>
      <c r="J175" s="346"/>
      <c r="K175" s="346"/>
      <c r="L175" s="346"/>
      <c r="M175" s="347"/>
    </row>
    <row r="176" ht="26" customHeight="1">
      <c r="A176" s="366" t="str">
        <v>U038</v>
      </c>
      <c r="B176" s="367" t="str">
        <v>۱۴۰۵/۰۶/۲۴</v>
      </c>
      <c r="C176" s="367" t="str">
        <v>۱۴۰۵/۰۶/۲۵</v>
      </c>
      <c r="D176" s="367" t="n">
        <v>1</v>
      </c>
      <c r="E176" s="367" t="str">
        <v>رفع برخورد و حفظ محدودیت دو درس</v>
      </c>
      <c r="F176" s="367" t="str">
        <v>آسیب‌شناسی روانی</v>
      </c>
      <c r="G176" s="367" t="str">
        <v>شکست/ضعف ← ضریب ← سررسید</v>
      </c>
      <c r="H176" s="367" t="str">
        <v>معتبر/انتقال نهایی</v>
      </c>
      <c r="I176" s="367"/>
      <c r="J176" s="367"/>
      <c r="K176" s="367"/>
      <c r="L176" s="367"/>
      <c r="M176" s="368"/>
    </row>
    <row r="177" ht="26" customHeight="1">
      <c r="A177" s="345" t="str">
        <v>U038</v>
      </c>
      <c r="B177" s="346" t="str">
        <v>۱۴۰۵/۰۶/۲۶</v>
      </c>
      <c r="C177" s="346" t="str">
        <v>۱۴۰۵/۰۶/۲۵</v>
      </c>
      <c r="D177" s="346" t="n">
        <v>-1</v>
      </c>
      <c r="E177" s="346" t="str">
        <v>رفع برخورد و حفظ محدودیت دو درس</v>
      </c>
      <c r="F177" s="346" t="str">
        <v>آسیب‌شناسی روانی</v>
      </c>
      <c r="G177" s="346" t="str">
        <v>شکست/ضعف ← ضریب ← سررسید</v>
      </c>
      <c r="H177" s="346" t="str">
        <v>معتبر/انتقال نهایی</v>
      </c>
      <c r="I177" s="346"/>
      <c r="J177" s="346"/>
      <c r="K177" s="346"/>
      <c r="L177" s="346"/>
      <c r="M177" s="347"/>
    </row>
    <row r="178" ht="26" customHeight="1">
      <c r="A178" s="366" t="str">
        <v>U038</v>
      </c>
      <c r="B178" s="367" t="str">
        <v>۱۴۰۵/۰۷/۰۶</v>
      </c>
      <c r="C178" s="367" t="str">
        <v>۱۴۰۵/۰۷/۰۷</v>
      </c>
      <c r="D178" s="367" t="n">
        <v>1</v>
      </c>
      <c r="E178" s="367" t="str">
        <v>رفع برخورد و حفظ محدودیت دو درس</v>
      </c>
      <c r="F178" s="367" t="str">
        <v>آسیب‌شناسی روانی</v>
      </c>
      <c r="G178" s="367" t="str">
        <v>شکست/ضعف ← ضریب ← سررسید</v>
      </c>
      <c r="H178" s="367" t="str">
        <v>معتبر/انتقال نهایی</v>
      </c>
      <c r="I178" s="367"/>
      <c r="J178" s="367"/>
      <c r="K178" s="367"/>
      <c r="L178" s="367"/>
      <c r="M178" s="368"/>
    </row>
    <row r="179" ht="26" customHeight="1">
      <c r="A179" s="345" t="str">
        <v>U038</v>
      </c>
      <c r="B179" s="346" t="str">
        <v>۱۴۰۵/۰۷/۲۰</v>
      </c>
      <c r="C179" s="346" t="str">
        <v>۱۴۰۵/۰۷/۲۱</v>
      </c>
      <c r="D179" s="346" t="n">
        <v>1</v>
      </c>
      <c r="E179" s="346" t="str">
        <v>رفع برخورد و حفظ محدودیت دو درس</v>
      </c>
      <c r="F179" s="346" t="str">
        <v>آسیب‌شناسی روانی</v>
      </c>
      <c r="G179" s="346" t="str">
        <v>شکست/ضعف ← ضریب ← سررسید</v>
      </c>
      <c r="H179" s="346" t="str">
        <v>معتبر/انتقال نهایی</v>
      </c>
      <c r="I179" s="346"/>
      <c r="J179" s="346"/>
      <c r="K179" s="346"/>
      <c r="L179" s="346"/>
      <c r="M179" s="347"/>
    </row>
    <row r="180" ht="26" customHeight="1">
      <c r="A180" s="366" t="str">
        <v>U039</v>
      </c>
      <c r="B180" s="367" t="str">
        <v>۱۴۰۵/۰۶/۲۶</v>
      </c>
      <c r="C180" s="367" t="str">
        <v>۱۴۰۵/۰۶/۲۵</v>
      </c>
      <c r="D180" s="367" t="n">
        <v>-1</v>
      </c>
      <c r="E180" s="367" t="str">
        <v>رفع برخورد و حفظ محدودیت دو درس</v>
      </c>
      <c r="F180" s="367" t="str">
        <v>آسیب‌شناسی روانی</v>
      </c>
      <c r="G180" s="367" t="str">
        <v>شکست/ضعف ← ضریب ← سررسید</v>
      </c>
      <c r="H180" s="367" t="str">
        <v>معتبر/انتقال نهایی</v>
      </c>
      <c r="I180" s="367"/>
      <c r="J180" s="367"/>
      <c r="K180" s="367"/>
      <c r="L180" s="367"/>
      <c r="M180" s="368"/>
    </row>
    <row r="181" ht="26" customHeight="1">
      <c r="A181" s="345" t="str">
        <v>U040</v>
      </c>
      <c r="B181" s="346" t="str">
        <v>۱۴۰۵/۰۶/۲۹</v>
      </c>
      <c r="C181" s="346" t="str">
        <v>۱۴۰۵/۰۶/۳۰</v>
      </c>
      <c r="D181" s="346" t="n">
        <v>1</v>
      </c>
      <c r="E181" s="346" t="str">
        <v>رفع برخورد و حفظ محدودیت دو درس</v>
      </c>
      <c r="F181" s="346" t="str">
        <v>آسیب‌شناسی روانی</v>
      </c>
      <c r="G181" s="346" t="str">
        <v>شکست/ضعف ← ضریب ← سررسید</v>
      </c>
      <c r="H181" s="346" t="str">
        <v>معتبر/انتقال نهایی</v>
      </c>
      <c r="I181" s="346"/>
      <c r="J181" s="346"/>
      <c r="K181" s="346"/>
      <c r="L181" s="346"/>
      <c r="M181" s="347"/>
    </row>
    <row r="182" ht="26" customHeight="1">
      <c r="A182" s="366" t="str">
        <v>U040</v>
      </c>
      <c r="B182" s="367" t="str">
        <v>۱۴۰۵/۰۶/۳۱</v>
      </c>
      <c r="C182" s="367" t="str">
        <v>۱۴۰۵/۰۷/۰۱</v>
      </c>
      <c r="D182" s="367" t="n">
        <v>1</v>
      </c>
      <c r="E182" s="367" t="str">
        <v>رفع برخورد و حفظ محدودیت دو درس</v>
      </c>
      <c r="F182" s="367" t="str">
        <v>آسیب‌شناسی روانی</v>
      </c>
      <c r="G182" s="367" t="str">
        <v>شکست/ضعف ← ضریب ← سررسید</v>
      </c>
      <c r="H182" s="367" t="str">
        <v>معتبر/انتقال نهایی</v>
      </c>
      <c r="I182" s="367"/>
      <c r="J182" s="367"/>
      <c r="K182" s="367"/>
      <c r="L182" s="367"/>
      <c r="M182" s="368"/>
    </row>
    <row r="183" ht="26" customHeight="1">
      <c r="A183" s="345" t="str">
        <v>U040</v>
      </c>
      <c r="B183" s="346" t="str">
        <v>۱۴۰۵/۰۷/۰۴</v>
      </c>
      <c r="C183" s="346" t="str">
        <v>۱۴۰۵/۰۷/۰۵</v>
      </c>
      <c r="D183" s="346" t="n">
        <v>1</v>
      </c>
      <c r="E183" s="346" t="str">
        <v>رفع برخورد و حفظ محدودیت دو درس</v>
      </c>
      <c r="F183" s="346" t="str">
        <v>آسیب‌شناسی روانی</v>
      </c>
      <c r="G183" s="346" t="str">
        <v>شکست/ضعف ← ضریب ← سررسید</v>
      </c>
      <c r="H183" s="346" t="str">
        <v>معتبر/انتقال نهایی</v>
      </c>
      <c r="I183" s="346"/>
      <c r="J183" s="346"/>
      <c r="K183" s="346"/>
      <c r="L183" s="346"/>
      <c r="M183" s="347"/>
    </row>
    <row r="184" ht="26" customHeight="1">
      <c r="A184" s="366" t="str">
        <v>U040</v>
      </c>
      <c r="B184" s="367" t="str">
        <v>۱۴۰۵/۰۷/۱۱</v>
      </c>
      <c r="C184" s="367" t="str">
        <v>۱۴۰۵/۰۷/۱۲</v>
      </c>
      <c r="D184" s="367" t="n">
        <v>1</v>
      </c>
      <c r="E184" s="367" t="str">
        <v>رفع برخورد و حفظ محدودیت دو درس</v>
      </c>
      <c r="F184" s="367" t="str">
        <v>آسیب‌شناسی روانی</v>
      </c>
      <c r="G184" s="367" t="str">
        <v>شکست/ضعف ← ضریب ← سررسید</v>
      </c>
      <c r="H184" s="367" t="str">
        <v>معتبر/انتقال نهایی</v>
      </c>
      <c r="I184" s="367"/>
      <c r="J184" s="367"/>
      <c r="K184" s="367"/>
      <c r="L184" s="367"/>
      <c r="M184" s="368"/>
    </row>
    <row r="185" ht="26" customHeight="1">
      <c r="A185" s="345" t="str">
        <v>U040</v>
      </c>
      <c r="B185" s="346" t="str">
        <v>۱۴۰۵/۰۷/۲۵</v>
      </c>
      <c r="C185" s="346" t="str">
        <v>۱۴۰۵/۰۷/۲۶</v>
      </c>
      <c r="D185" s="346" t="n">
        <v>1</v>
      </c>
      <c r="E185" s="346" t="str">
        <v>رفع برخورد و حفظ محدودیت دو درس</v>
      </c>
      <c r="F185" s="346" t="str">
        <v>آسیب‌شناسی روانی</v>
      </c>
      <c r="G185" s="346" t="str">
        <v>شکست/ضعف ← ضریب ← سررسید</v>
      </c>
      <c r="H185" s="346" t="str">
        <v>معتبر/انتقال نهایی</v>
      </c>
      <c r="I185" s="346"/>
      <c r="J185" s="346"/>
      <c r="K185" s="346"/>
      <c r="L185" s="346"/>
      <c r="M185" s="347"/>
    </row>
    <row r="186" ht="26" customHeight="1">
      <c r="A186" s="366" t="str">
        <v>U041</v>
      </c>
      <c r="B186" s="367" t="str">
        <v>۱۴۰۵/۰۶/۳۱</v>
      </c>
      <c r="C186" s="367" t="str">
        <v>۱۴۰۵/۰۷/۰۱</v>
      </c>
      <c r="D186" s="367" t="n">
        <v>1</v>
      </c>
      <c r="E186" s="367" t="str">
        <v>رفع برخورد و حفظ محدودیت دو درس</v>
      </c>
      <c r="F186" s="367" t="str">
        <v>آسیب‌شناسی روانی</v>
      </c>
      <c r="G186" s="367" t="str">
        <v>شکست/ضعف ← ضریب ← سررسید</v>
      </c>
      <c r="H186" s="367" t="str">
        <v>معتبر/انتقال نهایی</v>
      </c>
      <c r="I186" s="367"/>
      <c r="J186" s="367"/>
      <c r="K186" s="367"/>
      <c r="L186" s="367"/>
      <c r="M186" s="368"/>
    </row>
    <row r="187" ht="26" customHeight="1">
      <c r="A187" s="345" t="str">
        <v>U041</v>
      </c>
      <c r="B187" s="346" t="str">
        <v>۱۴۰۵/۰۷/۰۶</v>
      </c>
      <c r="C187" s="346" t="str">
        <v>۱۴۰۵/۰۷/۰۷</v>
      </c>
      <c r="D187" s="346" t="n">
        <v>1</v>
      </c>
      <c r="E187" s="346" t="str">
        <v>رفع برخورد و حفظ محدودیت دو درس</v>
      </c>
      <c r="F187" s="346" t="str">
        <v>آسیب‌شناسی روانی</v>
      </c>
      <c r="G187" s="346" t="str">
        <v>شکست/ضعف ← ضریب ← سررسید</v>
      </c>
      <c r="H187" s="346" t="str">
        <v>معتبر/انتقال نهایی</v>
      </c>
      <c r="I187" s="346"/>
      <c r="J187" s="346"/>
      <c r="K187" s="346"/>
      <c r="L187" s="346"/>
      <c r="M187" s="347"/>
    </row>
    <row r="188" ht="26" customHeight="1">
      <c r="A188" s="366" t="str">
        <v>U041</v>
      </c>
      <c r="B188" s="367" t="str">
        <v>۱۴۰۵/۰۷/۱۳</v>
      </c>
      <c r="C188" s="367" t="str">
        <v>۱۴۰۵/۰۷/۱۴</v>
      </c>
      <c r="D188" s="367" t="n">
        <v>1</v>
      </c>
      <c r="E188" s="367" t="str">
        <v>رفع برخورد و حفظ محدودیت دو درس</v>
      </c>
      <c r="F188" s="367" t="str">
        <v>آسیب‌شناسی روانی</v>
      </c>
      <c r="G188" s="367" t="str">
        <v>شکست/ضعف ← ضریب ← سررسید</v>
      </c>
      <c r="H188" s="367" t="str">
        <v>معتبر/انتقال نهایی</v>
      </c>
      <c r="I188" s="367"/>
      <c r="J188" s="367"/>
      <c r="K188" s="367"/>
      <c r="L188" s="367"/>
      <c r="M188" s="368"/>
    </row>
    <row r="189" ht="26" customHeight="1">
      <c r="A189" s="345" t="str">
        <v>U042</v>
      </c>
      <c r="B189" s="346" t="str">
        <v>۱۴۰۵/۰۶/۳۱</v>
      </c>
      <c r="C189" s="346" t="str">
        <v>۱۴۰۵/۰۷/۰۱</v>
      </c>
      <c r="D189" s="346" t="n">
        <v>1</v>
      </c>
      <c r="E189" s="346" t="str">
        <v>رفع برخورد و حفظ محدودیت دو درس</v>
      </c>
      <c r="F189" s="346" t="str">
        <v>آسیب‌شناسی روانی</v>
      </c>
      <c r="G189" s="346" t="str">
        <v>شکست/ضعف ← ضریب ← سررسید</v>
      </c>
      <c r="H189" s="346" t="str">
        <v>معتبر/انتقال نهایی</v>
      </c>
      <c r="I189" s="346"/>
      <c r="J189" s="346"/>
      <c r="K189" s="346"/>
      <c r="L189" s="346"/>
      <c r="M189" s="347"/>
    </row>
    <row r="190" ht="26" customHeight="1">
      <c r="A190" s="366" t="str">
        <v>U042</v>
      </c>
      <c r="B190" s="367" t="str">
        <v>۱۴۰۵/۰۷/۰۶</v>
      </c>
      <c r="C190" s="367" t="str">
        <v>۱۴۰۵/۰۷/۰۷</v>
      </c>
      <c r="D190" s="367" t="n">
        <v>1</v>
      </c>
      <c r="E190" s="367" t="str">
        <v>رفع برخورد و حفظ محدودیت دو درس</v>
      </c>
      <c r="F190" s="367" t="str">
        <v>آسیب‌شناسی روانی</v>
      </c>
      <c r="G190" s="367" t="str">
        <v>شکست/ضعف ← ضریب ← سررسید</v>
      </c>
      <c r="H190" s="367" t="str">
        <v>معتبر/انتقال نهایی</v>
      </c>
      <c r="I190" s="367"/>
      <c r="J190" s="367"/>
      <c r="K190" s="367"/>
      <c r="L190" s="367"/>
      <c r="M190" s="368"/>
    </row>
    <row r="191" ht="26" customHeight="1">
      <c r="A191" s="345" t="str">
        <v>U042</v>
      </c>
      <c r="B191" s="346" t="str">
        <v>۱۴۰۵/۰۷/۱۳</v>
      </c>
      <c r="C191" s="346" t="str">
        <v>۱۴۰۵/۰۷/۱۴</v>
      </c>
      <c r="D191" s="346" t="n">
        <v>1</v>
      </c>
      <c r="E191" s="346" t="str">
        <v>رفع برخورد و حفظ محدودیت دو درس</v>
      </c>
      <c r="F191" s="346" t="str">
        <v>آسیب‌شناسی روانی</v>
      </c>
      <c r="G191" s="346" t="str">
        <v>شکست/ضعف ← ضریب ← سررسید</v>
      </c>
      <c r="H191" s="346" t="str">
        <v>معتبر/انتقال نهایی</v>
      </c>
      <c r="I191" s="346"/>
      <c r="J191" s="346"/>
      <c r="K191" s="346"/>
      <c r="L191" s="346"/>
      <c r="M191" s="347"/>
    </row>
    <row r="192" ht="26" customHeight="1">
      <c r="A192" s="366" t="str">
        <v>U043</v>
      </c>
      <c r="B192" s="367" t="str">
        <v>۱۴۰۵/۰۷/۰۴</v>
      </c>
      <c r="C192" s="367" t="str">
        <v>۱۴۰۵/۰۷/۰۵</v>
      </c>
      <c r="D192" s="367" t="n">
        <v>1</v>
      </c>
      <c r="E192" s="367" t="str">
        <v>رفع برخورد و حفظ محدودیت دو درس</v>
      </c>
      <c r="F192" s="367" t="str">
        <v>آسیب‌شناسی روانی</v>
      </c>
      <c r="G192" s="367" t="str">
        <v>شکست/ضعف ← ضریب ← سررسید</v>
      </c>
      <c r="H192" s="367" t="str">
        <v>معتبر/انتقال نهایی</v>
      </c>
      <c r="I192" s="367"/>
      <c r="J192" s="367"/>
      <c r="K192" s="367"/>
      <c r="L192" s="367"/>
      <c r="M192" s="368"/>
    </row>
    <row r="193" ht="26" customHeight="1">
      <c r="A193" s="345" t="str">
        <v>U044</v>
      </c>
      <c r="B193" s="346" t="str">
        <v>۱۴۰۵/۰۷/۰۴</v>
      </c>
      <c r="C193" s="346" t="str">
        <v>۱۴۰۵/۰۷/۰۵</v>
      </c>
      <c r="D193" s="346" t="n">
        <v>1</v>
      </c>
      <c r="E193" s="346" t="str">
        <v>رفع برخورد و حفظ محدودیت دو درس</v>
      </c>
      <c r="F193" s="346" t="str">
        <v>آسیب‌شناسی روانی</v>
      </c>
      <c r="G193" s="346" t="str">
        <v>شکست/ضعف ← ضریب ← سررسید</v>
      </c>
      <c r="H193" s="346" t="str">
        <v>معتبر/انتقال نهایی</v>
      </c>
      <c r="I193" s="346"/>
      <c r="J193" s="346"/>
      <c r="K193" s="346"/>
      <c r="L193" s="346"/>
      <c r="M193" s="347"/>
    </row>
    <row r="194" ht="26" customHeight="1">
      <c r="A194" s="366" t="str">
        <v>U045</v>
      </c>
      <c r="B194" s="367" t="str">
        <v>۱۴۰۵/۰۷/۳۰</v>
      </c>
      <c r="C194" s="367" t="str">
        <v>۱۴۰۵/۰۷/۲۹</v>
      </c>
      <c r="D194" s="367" t="n">
        <v>-1</v>
      </c>
      <c r="E194" s="367" t="str">
        <v>رفع برخورد و حفظ محدودیت دو درس</v>
      </c>
      <c r="F194" s="367" t="str">
        <v>آسیب‌شناسی روانی</v>
      </c>
      <c r="G194" s="367" t="str">
        <v>شکست/ضعف ← ضریب ← سررسید</v>
      </c>
      <c r="H194" s="367" t="str">
        <v>معتبر/انتقال نهایی</v>
      </c>
      <c r="I194" s="367"/>
      <c r="J194" s="367"/>
      <c r="K194" s="367"/>
      <c r="L194" s="367"/>
      <c r="M194" s="368"/>
    </row>
    <row r="195" ht="26" customHeight="1">
      <c r="A195" s="345" t="str">
        <v>U046</v>
      </c>
      <c r="B195" s="346" t="str">
        <v>۱۴۰۵/۰۷/۰۴</v>
      </c>
      <c r="C195" s="346" t="str">
        <v>۱۴۰۵/۰۷/۰۵</v>
      </c>
      <c r="D195" s="346" t="n">
        <v>1</v>
      </c>
      <c r="E195" s="346" t="str">
        <v>رفع برخورد و حفظ محدودیت دو درس</v>
      </c>
      <c r="F195" s="346" t="str">
        <v>آسیب‌شناسی روانی</v>
      </c>
      <c r="G195" s="346" t="str">
        <v>شکست/ضعف ← ضریب ← سررسید</v>
      </c>
      <c r="H195" s="346" t="str">
        <v>معتبر/انتقال نهایی</v>
      </c>
      <c r="I195" s="346"/>
      <c r="J195" s="346"/>
      <c r="K195" s="346"/>
      <c r="L195" s="346"/>
      <c r="M195" s="347"/>
    </row>
    <row r="196" ht="26" customHeight="1">
      <c r="A196" s="366" t="str">
        <v>U046</v>
      </c>
      <c r="B196" s="367" t="str">
        <v>۱۴۰۵/۰۷/۰۶</v>
      </c>
      <c r="C196" s="367" t="str">
        <v>۱۴۰۵/۰۷/۰۷</v>
      </c>
      <c r="D196" s="367" t="n">
        <v>1</v>
      </c>
      <c r="E196" s="367" t="str">
        <v>رفع برخورد و حفظ محدودیت دو درس</v>
      </c>
      <c r="F196" s="367" t="str">
        <v>آسیب‌شناسی روانی</v>
      </c>
      <c r="G196" s="367" t="str">
        <v>شکست/ضعف ← ضریب ← سررسید</v>
      </c>
      <c r="H196" s="367" t="str">
        <v>معتبر/انتقال نهایی</v>
      </c>
      <c r="I196" s="367"/>
      <c r="J196" s="367"/>
      <c r="K196" s="367"/>
      <c r="L196" s="367"/>
      <c r="M196" s="368"/>
    </row>
    <row r="197" ht="26" customHeight="1">
      <c r="A197" s="345" t="str">
        <v>U046</v>
      </c>
      <c r="B197" s="346" t="str">
        <v>پس از مهلت</v>
      </c>
      <c r="C197" s="346" t="str">
        <v>۱۴۰۵/۰۷/۲۹</v>
      </c>
      <c r="D197" s="346" t="n">
        <v>-2</v>
      </c>
      <c r="E197" s="346" t="str">
        <v>انتقال به تثبیت نهایی؛ تاریخ پایه پس از مهلت</v>
      </c>
      <c r="F197" s="346" t="str">
        <v>آسیب‌شناسی روانی</v>
      </c>
      <c r="G197" s="346" t="str">
        <v>شکست/ضعف ← ضریب ← سررسید</v>
      </c>
      <c r="H197" s="346" t="str">
        <v>معتبر/انتقال نهایی</v>
      </c>
      <c r="I197" s="346"/>
      <c r="J197" s="346"/>
      <c r="K197" s="346"/>
      <c r="L197" s="346"/>
      <c r="M197" s="347"/>
    </row>
    <row r="198" ht="26" customHeight="1">
      <c r="A198" s="366" t="str">
        <v>U047</v>
      </c>
      <c r="B198" s="367" t="str">
        <v>۱۴۰۵/۰۷/۰۶</v>
      </c>
      <c r="C198" s="367" t="str">
        <v>۱۴۰۵/۰۷/۰۷</v>
      </c>
      <c r="D198" s="367" t="n">
        <v>1</v>
      </c>
      <c r="E198" s="367" t="str">
        <v>رفع برخورد و حفظ محدودیت دو درس</v>
      </c>
      <c r="F198" s="367" t="str">
        <v>آسیب‌شناسی روانی</v>
      </c>
      <c r="G198" s="367" t="str">
        <v>شکست/ضعف ← ضریب ← سررسید</v>
      </c>
      <c r="H198" s="367" t="str">
        <v>معتبر/انتقال نهایی</v>
      </c>
      <c r="I198" s="367"/>
      <c r="J198" s="367"/>
      <c r="K198" s="367"/>
      <c r="L198" s="367"/>
      <c r="M198" s="368"/>
    </row>
    <row r="199" ht="26" customHeight="1">
      <c r="A199" s="345" t="str">
        <v>U047</v>
      </c>
      <c r="B199" s="346" t="str">
        <v>پس از مهلت</v>
      </c>
      <c r="C199" s="346" t="str">
        <v>۱۴۰۵/۰۷/۲۹</v>
      </c>
      <c r="D199" s="346" t="n">
        <v>-4</v>
      </c>
      <c r="E199" s="346" t="str">
        <v>انتقال به تثبیت نهایی؛ تاریخ پایه پس از مهلت</v>
      </c>
      <c r="F199" s="346" t="str">
        <v>آسیب‌شناسی روانی</v>
      </c>
      <c r="G199" s="346" t="str">
        <v>شکست/ضعف ← ضریب ← سررسید</v>
      </c>
      <c r="H199" s="346" t="str">
        <v>معتبر/انتقال نهایی</v>
      </c>
      <c r="I199" s="346"/>
      <c r="J199" s="346"/>
      <c r="K199" s="346"/>
      <c r="L199" s="346"/>
      <c r="M199" s="347"/>
    </row>
    <row r="200" ht="26" customHeight="1">
      <c r="A200" s="366" t="str">
        <v>U048</v>
      </c>
      <c r="B200" s="367" t="str">
        <v>۱۴۰۵/۰۷/۰۶</v>
      </c>
      <c r="C200" s="367" t="str">
        <v>۱۴۰۵/۰۷/۰۷</v>
      </c>
      <c r="D200" s="367" t="n">
        <v>1</v>
      </c>
      <c r="E200" s="367" t="str">
        <v>رفع برخورد و حفظ محدودیت دو درس</v>
      </c>
      <c r="F200" s="367" t="str">
        <v>آسیب‌شناسی روانی</v>
      </c>
      <c r="G200" s="367" t="str">
        <v>شکست/ضعف ← ضریب ← سررسید</v>
      </c>
      <c r="H200" s="367" t="str">
        <v>معتبر/انتقال نهایی</v>
      </c>
      <c r="I200" s="367"/>
      <c r="J200" s="367"/>
      <c r="K200" s="367"/>
      <c r="L200" s="367"/>
      <c r="M200" s="368"/>
    </row>
    <row r="201" ht="26" customHeight="1">
      <c r="A201" s="345" t="str">
        <v>U048</v>
      </c>
      <c r="B201" s="346" t="str">
        <v>پس از مهلت</v>
      </c>
      <c r="C201" s="346" t="str">
        <v>۱۴۰۵/۰۷/۲۹</v>
      </c>
      <c r="D201" s="346" t="n">
        <v>-4</v>
      </c>
      <c r="E201" s="346" t="str">
        <v>انتقال به تثبیت نهایی؛ تاریخ پایه پس از مهلت</v>
      </c>
      <c r="F201" s="346" t="str">
        <v>آسیب‌شناسی روانی</v>
      </c>
      <c r="G201" s="346" t="str">
        <v>شکست/ضعف ← ضریب ← سررسید</v>
      </c>
      <c r="H201" s="346" t="str">
        <v>معتبر/انتقال نهایی</v>
      </c>
      <c r="I201" s="346"/>
      <c r="J201" s="346"/>
      <c r="K201" s="346"/>
      <c r="L201" s="346"/>
      <c r="M201" s="347"/>
    </row>
    <row r="202" ht="26" customHeight="1">
      <c r="A202" s="366" t="str">
        <v>U049</v>
      </c>
      <c r="B202" s="367" t="str">
        <v>پس از مهلت</v>
      </c>
      <c r="C202" s="367" t="str">
        <v>۱۴۰۵/۰۷/۲۹</v>
      </c>
      <c r="D202" s="367" t="n">
        <v>-6</v>
      </c>
      <c r="E202" s="367" t="str">
        <v>انتقال به تثبیت نهایی؛ تاریخ پایه پس از مهلت</v>
      </c>
      <c r="F202" s="367" t="str">
        <v>آسیب‌شناسی روانی</v>
      </c>
      <c r="G202" s="367" t="str">
        <v>شکست/ضعف ← ضریب ← سررسید</v>
      </c>
      <c r="H202" s="367" t="str">
        <v>معتبر/انتقال نهایی</v>
      </c>
      <c r="I202" s="367"/>
      <c r="J202" s="367"/>
      <c r="K202" s="367"/>
      <c r="L202" s="367"/>
      <c r="M202" s="368"/>
    </row>
    <row r="203" ht="26" customHeight="1">
      <c r="A203" s="345" t="str">
        <v>U050</v>
      </c>
      <c r="B203" s="346" t="str">
        <v>پس از مهلت</v>
      </c>
      <c r="C203" s="346" t="str">
        <v>۱۴۰۵/۰۷/۲۹</v>
      </c>
      <c r="D203" s="346" t="n">
        <v>-6</v>
      </c>
      <c r="E203" s="346" t="str">
        <v>انتقال به تثبیت نهایی؛ تاریخ پایه پس از مهلت</v>
      </c>
      <c r="F203" s="346" t="str">
        <v>آسیب‌شناسی روانی</v>
      </c>
      <c r="G203" s="346" t="str">
        <v>شکست/ضعف ← ضریب ← سررسید</v>
      </c>
      <c r="H203" s="346" t="str">
        <v>معتبر/انتقال نهایی</v>
      </c>
      <c r="I203" s="346"/>
      <c r="J203" s="346"/>
      <c r="K203" s="346"/>
      <c r="L203" s="346"/>
      <c r="M203" s="347"/>
    </row>
    <row r="204" ht="26" customHeight="1">
      <c r="A204" s="366" t="str">
        <v>U051</v>
      </c>
      <c r="B204" s="367" t="str">
        <v>۱۴۰۵/۰۷/۱۱</v>
      </c>
      <c r="C204" s="367" t="str">
        <v>۱۴۰۵/۰۷/۱۲</v>
      </c>
      <c r="D204" s="367" t="n">
        <v>1</v>
      </c>
      <c r="E204" s="367" t="str">
        <v>رفع برخورد و حفظ محدودیت دو درس</v>
      </c>
      <c r="F204" s="367" t="str">
        <v>آسیب‌شناسی روانی</v>
      </c>
      <c r="G204" s="367" t="str">
        <v>شکست/ضعف ← ضریب ← سررسید</v>
      </c>
      <c r="H204" s="367" t="str">
        <v>معتبر/انتقال نهایی</v>
      </c>
      <c r="I204" s="367"/>
      <c r="J204" s="367"/>
      <c r="K204" s="367"/>
      <c r="L204" s="367"/>
      <c r="M204" s="368"/>
    </row>
    <row r="205" ht="26" customHeight="1">
      <c r="A205" s="345" t="str">
        <v>U051</v>
      </c>
      <c r="B205" s="346" t="str">
        <v>پس از مهلت</v>
      </c>
      <c r="C205" s="346" t="str">
        <v>۱۴۰۵/۰۷/۲۹</v>
      </c>
      <c r="D205" s="346" t="n">
        <v>-7</v>
      </c>
      <c r="E205" s="346" t="str">
        <v>انتقال به تثبیت نهایی؛ تاریخ پایه پس از مهلت</v>
      </c>
      <c r="F205" s="346" t="str">
        <v>آسیب‌شناسی روانی</v>
      </c>
      <c r="G205" s="346" t="str">
        <v>شکست/ضعف ← ضریب ← سررسید</v>
      </c>
      <c r="H205" s="346" t="str">
        <v>معتبر/انتقال نهایی</v>
      </c>
      <c r="I205" s="346"/>
      <c r="J205" s="346"/>
      <c r="K205" s="346"/>
      <c r="L205" s="346"/>
      <c r="M205" s="347"/>
    </row>
    <row r="206" ht="26" customHeight="1">
      <c r="A206" s="366" t="str">
        <v>U052</v>
      </c>
      <c r="B206" s="367" t="str">
        <v>۱۴۰۵/۰۷/۲۳</v>
      </c>
      <c r="C206" s="367" t="str">
        <v>۱۴۰۵/۰۷/۲۴</v>
      </c>
      <c r="D206" s="367" t="n">
        <v>1</v>
      </c>
      <c r="E206" s="367" t="str">
        <v>رفع برخورد و حفظ محدودیت دو درس</v>
      </c>
      <c r="F206" s="367" t="str">
        <v>آسیب‌شناسی روانی</v>
      </c>
      <c r="G206" s="367" t="str">
        <v>شکست/ضعف ← ضریب ← سررسید</v>
      </c>
      <c r="H206" s="367" t="str">
        <v>معتبر/انتقال نهایی</v>
      </c>
      <c r="I206" s="367"/>
      <c r="J206" s="367"/>
      <c r="K206" s="367"/>
      <c r="L206" s="367"/>
      <c r="M206" s="368"/>
    </row>
    <row r="207" ht="26" customHeight="1">
      <c r="A207" s="345" t="str">
        <v>U052</v>
      </c>
      <c r="B207" s="346" t="str">
        <v>پس از مهلت</v>
      </c>
      <c r="C207" s="346" t="str">
        <v>۱۴۰۵/۰۷/۲۹</v>
      </c>
      <c r="D207" s="346" t="n">
        <v>-8</v>
      </c>
      <c r="E207" s="346" t="str">
        <v>انتقال به تثبیت نهایی؛ تاریخ پایه پس از مهلت</v>
      </c>
      <c r="F207" s="346" t="str">
        <v>آسیب‌شناسی روانی</v>
      </c>
      <c r="G207" s="346" t="str">
        <v>شکست/ضعف ← ضریب ← سررسید</v>
      </c>
      <c r="H207" s="346" t="str">
        <v>معتبر/انتقال نهایی</v>
      </c>
      <c r="I207" s="346"/>
      <c r="J207" s="346"/>
      <c r="K207" s="346"/>
      <c r="L207" s="346"/>
      <c r="M207" s="347"/>
    </row>
    <row r="208" ht="26" customHeight="1">
      <c r="A208" s="366" t="str">
        <v>U053</v>
      </c>
      <c r="B208" s="367" t="str">
        <v>۱۴۰۵/۰۷/۱۱</v>
      </c>
      <c r="C208" s="367" t="str">
        <v>۱۴۰۵/۰۷/۱۲</v>
      </c>
      <c r="D208" s="367" t="n">
        <v>1</v>
      </c>
      <c r="E208" s="367" t="str">
        <v>رفع برخورد و حفظ محدودیت دو درس</v>
      </c>
      <c r="F208" s="367" t="str">
        <v>آسیب‌شناسی روانی</v>
      </c>
      <c r="G208" s="367" t="str">
        <v>شکست/ضعف ← ضریب ← سررسید</v>
      </c>
      <c r="H208" s="367" t="str">
        <v>معتبر/انتقال نهایی</v>
      </c>
      <c r="I208" s="367"/>
      <c r="J208" s="367"/>
      <c r="K208" s="367"/>
      <c r="L208" s="367"/>
      <c r="M208" s="368"/>
    </row>
    <row r="209" ht="26" customHeight="1">
      <c r="A209" s="345" t="str">
        <v>U053</v>
      </c>
      <c r="B209" s="346" t="str">
        <v>۱۴۰۵/۰۷/۱۳</v>
      </c>
      <c r="C209" s="346" t="str">
        <v>۱۴۰۵/۰۷/۱۴</v>
      </c>
      <c r="D209" s="346" t="n">
        <v>1</v>
      </c>
      <c r="E209" s="346" t="str">
        <v>رفع برخورد و حفظ محدودیت دو درس</v>
      </c>
      <c r="F209" s="346" t="str">
        <v>آسیب‌شناسی روانی</v>
      </c>
      <c r="G209" s="346" t="str">
        <v>شکست/ضعف ← ضریب ← سررسید</v>
      </c>
      <c r="H209" s="346" t="str">
        <v>معتبر/انتقال نهایی</v>
      </c>
      <c r="I209" s="346"/>
      <c r="J209" s="346"/>
      <c r="K209" s="346"/>
      <c r="L209" s="346"/>
      <c r="M209" s="347"/>
    </row>
    <row r="210" ht="26" customHeight="1">
      <c r="A210" s="366" t="str">
        <v>U053</v>
      </c>
      <c r="B210" s="367" t="str">
        <v>پس از مهلت</v>
      </c>
      <c r="C210" s="367" t="str">
        <v>۱۴۰۵/۰۷/۲۹</v>
      </c>
      <c r="D210" s="367" t="n">
        <v>-9</v>
      </c>
      <c r="E210" s="367" t="str">
        <v>انتقال به تثبیت نهایی؛ تاریخ پایه پس از مهلت</v>
      </c>
      <c r="F210" s="367" t="str">
        <v>آسیب‌شناسی روانی</v>
      </c>
      <c r="G210" s="367" t="str">
        <v>شکست/ضعف ← ضریب ← سررسید</v>
      </c>
      <c r="H210" s="367" t="str">
        <v>معتبر/انتقال نهایی</v>
      </c>
      <c r="I210" s="367"/>
      <c r="J210" s="367"/>
      <c r="K210" s="367"/>
      <c r="L210" s="367"/>
      <c r="M210" s="368"/>
    </row>
    <row r="211" ht="26" customHeight="1">
      <c r="A211" s="345" t="str">
        <v>U054</v>
      </c>
      <c r="B211" s="346" t="str">
        <v>۱۴۰۵/۰۷/۱۱</v>
      </c>
      <c r="C211" s="346" t="str">
        <v>۱۴۰۵/۰۷/۱۲</v>
      </c>
      <c r="D211" s="346" t="n">
        <v>1</v>
      </c>
      <c r="E211" s="346" t="str">
        <v>رفع برخورد و حفظ محدودیت دو درس</v>
      </c>
      <c r="F211" s="346" t="str">
        <v>آسیب‌شناسی روانی</v>
      </c>
      <c r="G211" s="346" t="str">
        <v>شکست/ضعف ← ضریب ← سررسید</v>
      </c>
      <c r="H211" s="346" t="str">
        <v>معتبر/انتقال نهایی</v>
      </c>
      <c r="I211" s="346"/>
      <c r="J211" s="346"/>
      <c r="K211" s="346"/>
      <c r="L211" s="346"/>
      <c r="M211" s="347"/>
    </row>
    <row r="212" ht="26" customHeight="1">
      <c r="A212" s="366" t="str">
        <v>U054</v>
      </c>
      <c r="B212" s="367" t="str">
        <v>۱۴۰۵/۰۷/۱۳</v>
      </c>
      <c r="C212" s="367" t="str">
        <v>۱۴۰۵/۰۷/۱۴</v>
      </c>
      <c r="D212" s="367" t="n">
        <v>1</v>
      </c>
      <c r="E212" s="367" t="str">
        <v>رفع برخورد و حفظ محدودیت دو درس</v>
      </c>
      <c r="F212" s="367" t="str">
        <v>آسیب‌شناسی روانی</v>
      </c>
      <c r="G212" s="367" t="str">
        <v>شکست/ضعف ← ضریب ← سررسید</v>
      </c>
      <c r="H212" s="367" t="str">
        <v>معتبر/انتقال نهایی</v>
      </c>
      <c r="I212" s="367"/>
      <c r="J212" s="367"/>
      <c r="K212" s="367"/>
      <c r="L212" s="367"/>
      <c r="M212" s="368"/>
    </row>
    <row r="213" ht="26" customHeight="1">
      <c r="A213" s="345" t="str">
        <v>U054</v>
      </c>
      <c r="B213" s="346" t="str">
        <v>پس از مهلت</v>
      </c>
      <c r="C213" s="346" t="str">
        <v>۱۴۰۵/۰۷/۲۹</v>
      </c>
      <c r="D213" s="346" t="n">
        <v>-9</v>
      </c>
      <c r="E213" s="346" t="str">
        <v>انتقال به تثبیت نهایی؛ تاریخ پایه پس از مهلت</v>
      </c>
      <c r="F213" s="346" t="str">
        <v>آسیب‌شناسی روانی</v>
      </c>
      <c r="G213" s="346" t="str">
        <v>شکست/ضعف ← ضریب ← سررسید</v>
      </c>
      <c r="H213" s="346" t="str">
        <v>معتبر/انتقال نهایی</v>
      </c>
      <c r="I213" s="346"/>
      <c r="J213" s="346"/>
      <c r="K213" s="346"/>
      <c r="L213" s="346"/>
      <c r="M213" s="347"/>
    </row>
    <row r="214" ht="26" customHeight="1">
      <c r="A214" s="366" t="str">
        <v>U055</v>
      </c>
      <c r="B214" s="367" t="str">
        <v>۱۴۰۵/۰۷/۱۳</v>
      </c>
      <c r="C214" s="367" t="str">
        <v>۱۴۰۵/۰۷/۱۴</v>
      </c>
      <c r="D214" s="367" t="n">
        <v>1</v>
      </c>
      <c r="E214" s="367" t="str">
        <v>رفع برخورد و حفظ محدودیت دو درس</v>
      </c>
      <c r="F214" s="367" t="str">
        <v>آسیب‌شناسی روانی</v>
      </c>
      <c r="G214" s="367" t="str">
        <v>شکست/ضعف ← ضریب ← سررسید</v>
      </c>
      <c r="H214" s="367" t="str">
        <v>معتبر/انتقال نهایی</v>
      </c>
      <c r="I214" s="367"/>
      <c r="J214" s="367"/>
      <c r="K214" s="367"/>
      <c r="L214" s="367"/>
      <c r="M214" s="368"/>
    </row>
    <row r="215" ht="26" customHeight="1">
      <c r="A215" s="345" t="str">
        <v>U055</v>
      </c>
      <c r="B215" s="346" t="str">
        <v>پس از مهلت</v>
      </c>
      <c r="C215" s="346" t="str">
        <v>۱۴۰۵/۰۷/۲۹</v>
      </c>
      <c r="D215" s="346" t="n">
        <v>-11</v>
      </c>
      <c r="E215" s="346" t="str">
        <v>انتقال به تثبیت نهایی؛ تاریخ پایه پس از مهلت</v>
      </c>
      <c r="F215" s="346" t="str">
        <v>آسیب‌شناسی روانی</v>
      </c>
      <c r="G215" s="346" t="str">
        <v>شکست/ضعف ← ضریب ← سررسید</v>
      </c>
      <c r="H215" s="346" t="str">
        <v>معتبر/انتقال نهایی</v>
      </c>
      <c r="I215" s="346"/>
      <c r="J215" s="346"/>
      <c r="K215" s="346"/>
      <c r="L215" s="346"/>
      <c r="M215" s="347"/>
    </row>
    <row r="216" ht="26" customHeight="1">
      <c r="A216" s="366" t="str">
        <v>U056</v>
      </c>
      <c r="B216" s="367" t="str">
        <v>۱۴۰۵/۰۷/۲۸</v>
      </c>
      <c r="C216" s="367" t="str">
        <v>۱۴۰۵/۰۷/۲۹</v>
      </c>
      <c r="D216" s="367" t="n">
        <v>1</v>
      </c>
      <c r="E216" s="367" t="str">
        <v>رفع برخورد و حفظ محدودیت دو درس</v>
      </c>
      <c r="F216" s="367" t="str">
        <v>آسیب‌شناسی روانی</v>
      </c>
      <c r="G216" s="367" t="str">
        <v>شکست/ضعف ← ضریب ← سررسید</v>
      </c>
      <c r="H216" s="367" t="str">
        <v>معتبر/انتقال نهایی</v>
      </c>
      <c r="I216" s="367"/>
      <c r="J216" s="367"/>
      <c r="K216" s="367"/>
      <c r="L216" s="367"/>
      <c r="M216" s="368"/>
    </row>
    <row r="217" ht="26" customHeight="1">
      <c r="A217" s="345" t="str">
        <v>U056</v>
      </c>
      <c r="B217" s="346" t="str">
        <v>پس از مهلت</v>
      </c>
      <c r="C217" s="346" t="str">
        <v>۱۴۰۵/۰۷/۲۹</v>
      </c>
      <c r="D217" s="346" t="n">
        <v>-13</v>
      </c>
      <c r="E217" s="346" t="str">
        <v>انتقال به تثبیت نهایی؛ تاریخ پایه پس از مهلت</v>
      </c>
      <c r="F217" s="346" t="str">
        <v>آسیب‌شناسی روانی</v>
      </c>
      <c r="G217" s="346" t="str">
        <v>شکست/ضعف ← ضریب ← سررسید</v>
      </c>
      <c r="H217" s="346" t="str">
        <v>معتبر/انتقال نهایی</v>
      </c>
      <c r="I217" s="346"/>
      <c r="J217" s="346"/>
      <c r="K217" s="346"/>
      <c r="L217" s="346"/>
      <c r="M217" s="347"/>
    </row>
    <row r="218" ht="26" customHeight="1">
      <c r="A218" s="366" t="str">
        <v>U057</v>
      </c>
      <c r="B218" s="367" t="str">
        <v>۱۴۰۵/۰۷/۲۸</v>
      </c>
      <c r="C218" s="367" t="str">
        <v>۱۴۰۵/۰۷/۲۹</v>
      </c>
      <c r="D218" s="367" t="n">
        <v>1</v>
      </c>
      <c r="E218" s="367" t="str">
        <v>رفع برخورد و حفظ محدودیت دو درس</v>
      </c>
      <c r="F218" s="367" t="str">
        <v>آسیب‌شناسی روانی</v>
      </c>
      <c r="G218" s="367" t="str">
        <v>شکست/ضعف ← ضریب ← سررسید</v>
      </c>
      <c r="H218" s="367" t="str">
        <v>معتبر/انتقال نهایی</v>
      </c>
      <c r="I218" s="367"/>
      <c r="J218" s="367"/>
      <c r="K218" s="367"/>
      <c r="L218" s="367"/>
      <c r="M218" s="368"/>
    </row>
    <row r="219" ht="26" customHeight="1">
      <c r="A219" s="345" t="str">
        <v>U057</v>
      </c>
      <c r="B219" s="346" t="str">
        <v>پس از مهلت</v>
      </c>
      <c r="C219" s="346" t="str">
        <v>۱۴۰۵/۰۷/۲۹</v>
      </c>
      <c r="D219" s="346" t="n">
        <v>-13</v>
      </c>
      <c r="E219" s="346" t="str">
        <v>انتقال به تثبیت نهایی؛ تاریخ پایه پس از مهلت</v>
      </c>
      <c r="F219" s="346" t="str">
        <v>آسیب‌شناسی روانی</v>
      </c>
      <c r="G219" s="346" t="str">
        <v>شکست/ضعف ← ضریب ← سررسید</v>
      </c>
      <c r="H219" s="346" t="str">
        <v>معتبر/انتقال نهایی</v>
      </c>
      <c r="I219" s="346"/>
      <c r="J219" s="346"/>
      <c r="K219" s="346"/>
      <c r="L219" s="346"/>
      <c r="M219" s="347"/>
    </row>
    <row r="220" ht="26" customHeight="1">
      <c r="A220" s="366" t="str">
        <v>U058</v>
      </c>
      <c r="B220" s="367" t="str">
        <v>۱۴۰۵/۰۷/۱۸</v>
      </c>
      <c r="C220" s="367" t="str">
        <v>۱۴۰۵/۰۷/۱۹</v>
      </c>
      <c r="D220" s="367" t="n">
        <v>1</v>
      </c>
      <c r="E220" s="367" t="str">
        <v>رفع برخورد و حفظ محدودیت دو درس</v>
      </c>
      <c r="F220" s="367" t="str">
        <v>آسیب‌شناسی روانی</v>
      </c>
      <c r="G220" s="367" t="str">
        <v>شکست/ضعف ← ضریب ← سررسید</v>
      </c>
      <c r="H220" s="367" t="str">
        <v>معتبر/انتقال نهایی</v>
      </c>
      <c r="I220" s="367"/>
      <c r="J220" s="367"/>
      <c r="K220" s="367"/>
      <c r="L220" s="367"/>
      <c r="M220" s="368"/>
    </row>
    <row r="221" ht="26" customHeight="1">
      <c r="A221" s="345" t="str">
        <v>U058</v>
      </c>
      <c r="B221" s="346" t="str">
        <v>پس از مهلت</v>
      </c>
      <c r="C221" s="346" t="str">
        <v>۱۴۰۵/۰۷/۲۹</v>
      </c>
      <c r="D221" s="346" t="n">
        <v>-14</v>
      </c>
      <c r="E221" s="346" t="str">
        <v>انتقال به تثبیت نهایی؛ تاریخ پایه پس از مهلت</v>
      </c>
      <c r="F221" s="346" t="str">
        <v>آسیب‌شناسی روانی</v>
      </c>
      <c r="G221" s="346" t="str">
        <v>شکست/ضعف ← ضریب ← سررسید</v>
      </c>
      <c r="H221" s="346" t="str">
        <v>معتبر/انتقال نهایی</v>
      </c>
      <c r="I221" s="346"/>
      <c r="J221" s="346"/>
      <c r="K221" s="346"/>
      <c r="L221" s="346"/>
      <c r="M221" s="347"/>
    </row>
    <row r="222" ht="26" customHeight="1">
      <c r="A222" s="366" t="str">
        <v>U059</v>
      </c>
      <c r="B222" s="367" t="str">
        <v>۱۴۰۵/۰۷/۲۳</v>
      </c>
      <c r="C222" s="367" t="str">
        <v>۱۴۰۵/۰۷/۲۴</v>
      </c>
      <c r="D222" s="367" t="n">
        <v>1</v>
      </c>
      <c r="E222" s="367" t="str">
        <v>رفع برخورد و حفظ محدودیت دو درس</v>
      </c>
      <c r="F222" s="367" t="str">
        <v>آسیب‌شناسی روانی</v>
      </c>
      <c r="G222" s="367" t="str">
        <v>شکست/ضعف ← ضریب ← سررسید</v>
      </c>
      <c r="H222" s="367" t="str">
        <v>معتبر/انتقال نهایی</v>
      </c>
      <c r="I222" s="367"/>
      <c r="J222" s="367"/>
      <c r="K222" s="367"/>
      <c r="L222" s="367"/>
      <c r="M222" s="368"/>
    </row>
    <row r="223" ht="26" customHeight="1">
      <c r="A223" s="345" t="str">
        <v>U059</v>
      </c>
      <c r="B223" s="346" t="str">
        <v>۱۴۰۵/۰۷/۳۰</v>
      </c>
      <c r="C223" s="346" t="str">
        <v>۱۴۰۵/۰۷/۲۹</v>
      </c>
      <c r="D223" s="346" t="n">
        <v>-1</v>
      </c>
      <c r="E223" s="346" t="str">
        <v>رفع برخورد و حفظ محدودیت دو درس</v>
      </c>
      <c r="F223" s="346" t="str">
        <v>آسیب‌شناسی روانی</v>
      </c>
      <c r="G223" s="346" t="str">
        <v>شکست/ضعف ← ضریب ← سررسید</v>
      </c>
      <c r="H223" s="346" t="str">
        <v>معتبر/انتقال نهایی</v>
      </c>
      <c r="I223" s="346"/>
      <c r="J223" s="346"/>
      <c r="K223" s="346"/>
      <c r="L223" s="346"/>
      <c r="M223" s="347"/>
    </row>
    <row r="224" ht="26" customHeight="1">
      <c r="A224" s="366" t="str">
        <v>U059</v>
      </c>
      <c r="B224" s="367" t="str">
        <v>پس از مهلت</v>
      </c>
      <c r="C224" s="367" t="str">
        <v>۱۴۰۵/۰۷/۲۹</v>
      </c>
      <c r="D224" s="367" t="n">
        <v>-15</v>
      </c>
      <c r="E224" s="367" t="str">
        <v>انتقال به تثبیت نهایی؛ تاریخ پایه پس از مهلت</v>
      </c>
      <c r="F224" s="367" t="str">
        <v>آسیب‌شناسی روانی</v>
      </c>
      <c r="G224" s="367" t="str">
        <v>شکست/ضعف ← ضریب ← سررسید</v>
      </c>
      <c r="H224" s="367" t="str">
        <v>معتبر/انتقال نهایی</v>
      </c>
      <c r="I224" s="367"/>
      <c r="J224" s="367"/>
      <c r="K224" s="367"/>
      <c r="L224" s="367"/>
      <c r="M224" s="368"/>
    </row>
    <row r="225" ht="26" customHeight="1">
      <c r="A225" s="345" t="str">
        <v>U060</v>
      </c>
      <c r="B225" s="346" t="str">
        <v>۱۴۰۵/۰۷/۱۸</v>
      </c>
      <c r="C225" s="346" t="str">
        <v>۱۴۰۵/۰۷/۱۹</v>
      </c>
      <c r="D225" s="346" t="n">
        <v>1</v>
      </c>
      <c r="E225" s="346" t="str">
        <v>رفع برخورد و حفظ محدودیت دو درس</v>
      </c>
      <c r="F225" s="346" t="str">
        <v>آسیب‌شناسی روانی</v>
      </c>
      <c r="G225" s="346" t="str">
        <v>شکست/ضعف ← ضریب ← سررسید</v>
      </c>
      <c r="H225" s="346" t="str">
        <v>معتبر/انتقال نهایی</v>
      </c>
      <c r="I225" s="346"/>
      <c r="J225" s="346"/>
      <c r="K225" s="346"/>
      <c r="L225" s="346"/>
      <c r="M225" s="347"/>
    </row>
    <row r="226" ht="26" customHeight="1">
      <c r="A226" s="366" t="str">
        <v>U060</v>
      </c>
      <c r="B226" s="367" t="str">
        <v>۱۴۰۵/۰۷/۲۰</v>
      </c>
      <c r="C226" s="367" t="str">
        <v>۱۴۰۵/۰۷/۲۱</v>
      </c>
      <c r="D226" s="367" t="n">
        <v>1</v>
      </c>
      <c r="E226" s="367" t="str">
        <v>رفع برخورد و حفظ محدودیت دو درس</v>
      </c>
      <c r="F226" s="367" t="str">
        <v>آسیب‌شناسی روانی</v>
      </c>
      <c r="G226" s="367" t="str">
        <v>شکست/ضعف ← ضریب ← سررسید</v>
      </c>
      <c r="H226" s="367" t="str">
        <v>معتبر/انتقال نهایی</v>
      </c>
      <c r="I226" s="367"/>
      <c r="J226" s="367"/>
      <c r="K226" s="367"/>
      <c r="L226" s="367"/>
      <c r="M226" s="368"/>
    </row>
    <row r="227" ht="26" customHeight="1">
      <c r="A227" s="345" t="str">
        <v>U060</v>
      </c>
      <c r="B227" s="346" t="str">
        <v>پس از مهلت</v>
      </c>
      <c r="C227" s="346" t="str">
        <v>۱۴۰۵/۰۷/۲۹</v>
      </c>
      <c r="D227" s="346" t="n">
        <v>-2</v>
      </c>
      <c r="E227" s="346" t="str">
        <v>انتقال به تثبیت نهایی؛ تاریخ پایه پس از مهلت</v>
      </c>
      <c r="F227" s="346" t="str">
        <v>آسیب‌شناسی روانی</v>
      </c>
      <c r="G227" s="346" t="str">
        <v>شکست/ضعف ← ضریب ← سررسید</v>
      </c>
      <c r="H227" s="346" t="str">
        <v>معتبر/انتقال نهایی</v>
      </c>
      <c r="I227" s="346"/>
      <c r="J227" s="346"/>
      <c r="K227" s="346"/>
      <c r="L227" s="346"/>
      <c r="M227" s="347"/>
    </row>
    <row r="228" ht="26" customHeight="1">
      <c r="A228" s="366" t="str">
        <v>U060</v>
      </c>
      <c r="B228" s="367" t="str">
        <v>پس از مهلت</v>
      </c>
      <c r="C228" s="367" t="str">
        <v>۱۴۰۵/۰۷/۲۹</v>
      </c>
      <c r="D228" s="367" t="n">
        <v>-16</v>
      </c>
      <c r="E228" s="367" t="str">
        <v>انتقال به تثبیت نهایی؛ تاریخ پایه پس از مهلت</v>
      </c>
      <c r="F228" s="367" t="str">
        <v>آسیب‌شناسی روانی</v>
      </c>
      <c r="G228" s="367" t="str">
        <v>شکست/ضعف ← ضریب ← سررسید</v>
      </c>
      <c r="H228" s="367" t="str">
        <v>معتبر/انتقال نهایی</v>
      </c>
      <c r="I228" s="367"/>
      <c r="J228" s="367"/>
      <c r="K228" s="367"/>
      <c r="L228" s="367"/>
      <c r="M228" s="368"/>
    </row>
    <row r="229" ht="26" customHeight="1">
      <c r="A229" s="345" t="str">
        <v>U061</v>
      </c>
      <c r="B229" s="346" t="str">
        <v>۱۴۰۵/۰۷/۱۸</v>
      </c>
      <c r="C229" s="346" t="str">
        <v>۱۴۰۵/۰۷/۱۹</v>
      </c>
      <c r="D229" s="346" t="n">
        <v>1</v>
      </c>
      <c r="E229" s="346" t="str">
        <v>رفع برخورد و حفظ محدودیت دو درس</v>
      </c>
      <c r="F229" s="346" t="str">
        <v>آسیب‌شناسی روانی</v>
      </c>
      <c r="G229" s="346" t="str">
        <v>شکست/ضعف ← ضریب ← سررسید</v>
      </c>
      <c r="H229" s="346" t="str">
        <v>معتبر/انتقال نهایی</v>
      </c>
      <c r="I229" s="346"/>
      <c r="J229" s="346"/>
      <c r="K229" s="346"/>
      <c r="L229" s="346"/>
      <c r="M229" s="347"/>
    </row>
    <row r="230" ht="26" customHeight="1">
      <c r="A230" s="366" t="str">
        <v>U061</v>
      </c>
      <c r="B230" s="367" t="str">
        <v>۱۴۰۵/۰۷/۲۰</v>
      </c>
      <c r="C230" s="367" t="str">
        <v>۱۴۰۵/۰۷/۲۱</v>
      </c>
      <c r="D230" s="367" t="n">
        <v>1</v>
      </c>
      <c r="E230" s="367" t="str">
        <v>رفع برخورد و حفظ محدودیت دو درس</v>
      </c>
      <c r="F230" s="367" t="str">
        <v>آسیب‌شناسی روانی</v>
      </c>
      <c r="G230" s="367" t="str">
        <v>شکست/ضعف ← ضریب ← سررسید</v>
      </c>
      <c r="H230" s="367" t="str">
        <v>معتبر/انتقال نهایی</v>
      </c>
      <c r="I230" s="367"/>
      <c r="J230" s="367"/>
      <c r="K230" s="367"/>
      <c r="L230" s="367"/>
      <c r="M230" s="368"/>
    </row>
    <row r="231" ht="26" customHeight="1">
      <c r="A231" s="345" t="str">
        <v>U061</v>
      </c>
      <c r="B231" s="346" t="str">
        <v>پس از مهلت</v>
      </c>
      <c r="C231" s="346" t="str">
        <v>۱۴۰۵/۰۷/۲۹</v>
      </c>
      <c r="D231" s="346" t="n">
        <v>-2</v>
      </c>
      <c r="E231" s="346" t="str">
        <v>انتقال به تثبیت نهایی؛ تاریخ پایه پس از مهلت</v>
      </c>
      <c r="F231" s="346" t="str">
        <v>آسیب‌شناسی روانی</v>
      </c>
      <c r="G231" s="346" t="str">
        <v>شکست/ضعف ← ضریب ← سررسید</v>
      </c>
      <c r="H231" s="346" t="str">
        <v>معتبر/انتقال نهایی</v>
      </c>
      <c r="I231" s="346"/>
      <c r="J231" s="346"/>
      <c r="K231" s="346"/>
      <c r="L231" s="346"/>
      <c r="M231" s="347"/>
    </row>
    <row r="232" ht="26" customHeight="1">
      <c r="A232" s="366" t="str">
        <v>U061</v>
      </c>
      <c r="B232" s="367" t="str">
        <v>پس از مهلت</v>
      </c>
      <c r="C232" s="367" t="str">
        <v>۱۴۰۵/۰۷/۲۹</v>
      </c>
      <c r="D232" s="367" t="n">
        <v>-16</v>
      </c>
      <c r="E232" s="367" t="str">
        <v>انتقال به تثبیت نهایی؛ تاریخ پایه پس از مهلت</v>
      </c>
      <c r="F232" s="367" t="str">
        <v>آسیب‌شناسی روانی</v>
      </c>
      <c r="G232" s="367" t="str">
        <v>شکست/ضعف ← ضریب ← سررسید</v>
      </c>
      <c r="H232" s="367" t="str">
        <v>معتبر/انتقال نهایی</v>
      </c>
      <c r="I232" s="367"/>
      <c r="J232" s="367"/>
      <c r="K232" s="367"/>
      <c r="L232" s="367"/>
      <c r="M232" s="368"/>
    </row>
    <row r="233" ht="26" customHeight="1">
      <c r="A233" s="345" t="str">
        <v>U062</v>
      </c>
      <c r="B233" s="346" t="str">
        <v>۱۴۰۵/۰۷/۲۰</v>
      </c>
      <c r="C233" s="346" t="str">
        <v>۱۴۰۵/۰۷/۲۱</v>
      </c>
      <c r="D233" s="346" t="n">
        <v>1</v>
      </c>
      <c r="E233" s="346" t="str">
        <v>رفع برخورد و حفظ محدودیت دو درس</v>
      </c>
      <c r="F233" s="346" t="str">
        <v>آسیب‌شناسی روانی</v>
      </c>
      <c r="G233" s="346" t="str">
        <v>شکست/ضعف ← ضریب ← سررسید</v>
      </c>
      <c r="H233" s="346" t="str">
        <v>معتبر/انتقال نهایی</v>
      </c>
      <c r="I233" s="346"/>
      <c r="J233" s="346"/>
      <c r="K233" s="346"/>
      <c r="L233" s="346"/>
      <c r="M233" s="347"/>
    </row>
    <row r="234" ht="26" customHeight="1">
      <c r="A234" s="366" t="str">
        <v>U062</v>
      </c>
      <c r="B234" s="367" t="str">
        <v>پس از مهلت</v>
      </c>
      <c r="C234" s="367" t="str">
        <v>۱۴۰۵/۰۷/۲۹</v>
      </c>
      <c r="D234" s="367" t="n">
        <v>-4</v>
      </c>
      <c r="E234" s="367" t="str">
        <v>انتقال به تثبیت نهایی؛ تاریخ پایه پس از مهلت</v>
      </c>
      <c r="F234" s="367" t="str">
        <v>آسیب‌شناسی روانی</v>
      </c>
      <c r="G234" s="367" t="str">
        <v>شکست/ضعف ← ضریب ← سررسید</v>
      </c>
      <c r="H234" s="367" t="str">
        <v>معتبر/انتقال نهایی</v>
      </c>
      <c r="I234" s="367"/>
      <c r="J234" s="367"/>
      <c r="K234" s="367"/>
      <c r="L234" s="367"/>
      <c r="M234" s="368"/>
    </row>
    <row r="235" ht="26" customHeight="1">
      <c r="A235" s="345" t="str">
        <v>U062</v>
      </c>
      <c r="B235" s="346" t="str">
        <v>پس از مهلت</v>
      </c>
      <c r="C235" s="346" t="str">
        <v>۱۴۰۵/۰۷/۲۹</v>
      </c>
      <c r="D235" s="346" t="n">
        <v>-18</v>
      </c>
      <c r="E235" s="346" t="str">
        <v>انتقال به تثبیت نهایی؛ تاریخ پایه پس از مهلت</v>
      </c>
      <c r="F235" s="346" t="str">
        <v>آسیب‌شناسی روانی</v>
      </c>
      <c r="G235" s="346" t="str">
        <v>شکست/ضعف ← ضریب ← سررسید</v>
      </c>
      <c r="H235" s="346" t="str">
        <v>معتبر/انتقال نهایی</v>
      </c>
      <c r="I235" s="346"/>
      <c r="J235" s="346"/>
      <c r="K235" s="346"/>
      <c r="L235" s="346"/>
      <c r="M235" s="347"/>
    </row>
    <row r="236" ht="26" customHeight="1">
      <c r="A236" s="366" t="str">
        <v>U063</v>
      </c>
      <c r="B236" s="367" t="str">
        <v>۱۴۰۵/۰۷/۲۸</v>
      </c>
      <c r="C236" s="367" t="str">
        <v>۱۴۰۵/۰۷/۲۹</v>
      </c>
      <c r="D236" s="367" t="n">
        <v>1</v>
      </c>
      <c r="E236" s="367" t="str">
        <v>رفع برخورد و حفظ محدودیت دو درس</v>
      </c>
      <c r="F236" s="367" t="str">
        <v>آسیب‌شناسی روانی</v>
      </c>
      <c r="G236" s="367" t="str">
        <v>شکست/ضعف ← ضریب ← سررسید</v>
      </c>
      <c r="H236" s="367" t="str">
        <v>معتبر/انتقال نهایی</v>
      </c>
      <c r="I236" s="367"/>
      <c r="J236" s="367"/>
      <c r="K236" s="367"/>
      <c r="L236" s="367"/>
      <c r="M236" s="368"/>
    </row>
    <row r="237" ht="26" customHeight="1">
      <c r="A237" s="345" t="str">
        <v>U063</v>
      </c>
      <c r="B237" s="346" t="str">
        <v>پس از مهلت</v>
      </c>
      <c r="C237" s="346" t="str">
        <v>۱۴۰۵/۰۷/۲۹</v>
      </c>
      <c r="D237" s="346" t="n">
        <v>-6</v>
      </c>
      <c r="E237" s="346" t="str">
        <v>انتقال به تثبیت نهایی؛ تاریخ پایه پس از مهلت</v>
      </c>
      <c r="F237" s="346" t="str">
        <v>آسیب‌شناسی روانی</v>
      </c>
      <c r="G237" s="346" t="str">
        <v>شکست/ضعف ← ضریب ← سررسید</v>
      </c>
      <c r="H237" s="346" t="str">
        <v>معتبر/انتقال نهایی</v>
      </c>
      <c r="I237" s="346"/>
      <c r="J237" s="346"/>
      <c r="K237" s="346"/>
      <c r="L237" s="346"/>
      <c r="M237" s="347"/>
    </row>
    <row r="238" ht="26" customHeight="1">
      <c r="A238" s="366" t="str">
        <v>U063</v>
      </c>
      <c r="B238" s="367" t="str">
        <v>پس از مهلت</v>
      </c>
      <c r="C238" s="367" t="str">
        <v>۱۴۰۵/۰۷/۲۹</v>
      </c>
      <c r="D238" s="367" t="n">
        <v>-20</v>
      </c>
      <c r="E238" s="367" t="str">
        <v>انتقال به تثبیت نهایی؛ تاریخ پایه پس از مهلت</v>
      </c>
      <c r="F238" s="367" t="str">
        <v>آسیب‌شناسی روانی</v>
      </c>
      <c r="G238" s="367" t="str">
        <v>شکست/ضعف ← ضریب ← سررسید</v>
      </c>
      <c r="H238" s="367" t="str">
        <v>معتبر/انتقال نهایی</v>
      </c>
      <c r="I238" s="367"/>
      <c r="J238" s="367"/>
      <c r="K238" s="367"/>
      <c r="L238" s="367"/>
      <c r="M238" s="368"/>
    </row>
    <row r="239" ht="26" customHeight="1">
      <c r="A239" s="345" t="str">
        <v>U064</v>
      </c>
      <c r="B239" s="346" t="str">
        <v>۱۴۰۵/۰۷/۲۳</v>
      </c>
      <c r="C239" s="346" t="str">
        <v>۱۴۰۵/۰۷/۲۴</v>
      </c>
      <c r="D239" s="346" t="n">
        <v>1</v>
      </c>
      <c r="E239" s="346" t="str">
        <v>رفع برخورد و حفظ محدودیت دو درس</v>
      </c>
      <c r="F239" s="346" t="str">
        <v>آسیب‌شناسی روانی</v>
      </c>
      <c r="G239" s="346" t="str">
        <v>شکست/ضعف ← ضریب ← سررسید</v>
      </c>
      <c r="H239" s="346" t="str">
        <v>معتبر/انتقال نهایی</v>
      </c>
      <c r="I239" s="346"/>
      <c r="J239" s="346"/>
      <c r="K239" s="346"/>
      <c r="L239" s="346"/>
      <c r="M239" s="347"/>
    </row>
    <row r="240" ht="26" customHeight="1">
      <c r="A240" s="366" t="str">
        <v>U064</v>
      </c>
      <c r="B240" s="367" t="str">
        <v>۱۴۰۵/۰۷/۲۵</v>
      </c>
      <c r="C240" s="367" t="str">
        <v>۱۴۰۵/۰۷/۲۶</v>
      </c>
      <c r="D240" s="367" t="n">
        <v>1</v>
      </c>
      <c r="E240" s="367" t="str">
        <v>رفع برخورد و حفظ محدودیت دو درس</v>
      </c>
      <c r="F240" s="367" t="str">
        <v>آسیب‌شناسی روانی</v>
      </c>
      <c r="G240" s="367" t="str">
        <v>شکست/ضعف ← ضریب ← سررسید</v>
      </c>
      <c r="H240" s="367" t="str">
        <v>معتبر/انتقال نهایی</v>
      </c>
      <c r="I240" s="367"/>
      <c r="J240" s="367"/>
      <c r="K240" s="367"/>
      <c r="L240" s="367"/>
      <c r="M240" s="368"/>
    </row>
    <row r="241" ht="26" customHeight="1">
      <c r="A241" s="345" t="str">
        <v>U064</v>
      </c>
      <c r="B241" s="346" t="str">
        <v>پس از مهلت</v>
      </c>
      <c r="C241" s="346" t="str">
        <v>۱۴۰۵/۰۷/۲۹</v>
      </c>
      <c r="D241" s="346" t="n">
        <v>-7</v>
      </c>
      <c r="E241" s="346" t="str">
        <v>انتقال به تثبیت نهایی؛ تاریخ پایه پس از مهلت</v>
      </c>
      <c r="F241" s="346" t="str">
        <v>آسیب‌شناسی روانی</v>
      </c>
      <c r="G241" s="346" t="str">
        <v>شکست/ضعف ← ضریب ← سررسید</v>
      </c>
      <c r="H241" s="346" t="str">
        <v>معتبر/انتقال نهایی</v>
      </c>
      <c r="I241" s="346"/>
      <c r="J241" s="346"/>
      <c r="K241" s="346"/>
      <c r="L241" s="346"/>
      <c r="M241" s="347"/>
    </row>
    <row r="242" ht="26" customHeight="1">
      <c r="A242" s="366" t="str">
        <v>U064</v>
      </c>
      <c r="B242" s="367" t="str">
        <v>پس از مهلت</v>
      </c>
      <c r="C242" s="367" t="str">
        <v>۱۴۰۵/۰۷/۲۹</v>
      </c>
      <c r="D242" s="367" t="n">
        <v>-21</v>
      </c>
      <c r="E242" s="367" t="str">
        <v>انتقال به تثبیت نهایی؛ تاریخ پایه پس از مهلت</v>
      </c>
      <c r="F242" s="367" t="str">
        <v>آسیب‌شناسی روانی</v>
      </c>
      <c r="G242" s="367" t="str">
        <v>شکست/ضعف ← ضریب ← سررسید</v>
      </c>
      <c r="H242" s="367" t="str">
        <v>معتبر/انتقال نهایی</v>
      </c>
      <c r="I242" s="367"/>
      <c r="J242" s="367"/>
      <c r="K242" s="367"/>
      <c r="L242" s="367"/>
      <c r="M242" s="368"/>
    </row>
    <row r="243" ht="26" customHeight="1">
      <c r="A243" s="345" t="str">
        <v>U065</v>
      </c>
      <c r="B243" s="346" t="str">
        <v>۱۴۰۵/۰۵/۱۶</v>
      </c>
      <c r="C243" s="346" t="str">
        <v>۱۴۰۵/۰۵/۱۷</v>
      </c>
      <c r="D243" s="346" t="n">
        <v>1</v>
      </c>
      <c r="E243" s="346" t="str">
        <v>رفع برخورد و حفظ محدودیت دو درس</v>
      </c>
      <c r="F243" s="346" t="str">
        <v>نظریه‌های روان‌درمانی پروچاسکا</v>
      </c>
      <c r="G243" s="346" t="str">
        <v>شکست/ضعف ← ضریب ← سررسید</v>
      </c>
      <c r="H243" s="346" t="str">
        <v>معتبر/انتقال نهایی</v>
      </c>
      <c r="I243" s="346"/>
      <c r="J243" s="346"/>
      <c r="K243" s="346"/>
      <c r="L243" s="346"/>
      <c r="M243" s="347"/>
    </row>
    <row r="244" ht="26" customHeight="1">
      <c r="A244" s="366" t="str">
        <v>U065</v>
      </c>
      <c r="B244" s="367" t="str">
        <v>۱۴۰۵/۰۵/۲۰</v>
      </c>
      <c r="C244" s="367" t="str">
        <v>۱۴۰۵/۰۵/۲۱</v>
      </c>
      <c r="D244" s="367" t="n">
        <v>1</v>
      </c>
      <c r="E244" s="367" t="str">
        <v>رفع برخورد و حفظ محدودیت دو درس</v>
      </c>
      <c r="F244" s="367" t="str">
        <v>نظریه‌های روان‌درمانی پروچاسکا</v>
      </c>
      <c r="G244" s="367" t="str">
        <v>شکست/ضعف ← ضریب ← سررسید</v>
      </c>
      <c r="H244" s="367" t="str">
        <v>معتبر/انتقال نهایی</v>
      </c>
      <c r="I244" s="367"/>
      <c r="J244" s="367"/>
      <c r="K244" s="367"/>
      <c r="L244" s="367"/>
      <c r="M244" s="368"/>
    </row>
    <row r="245" ht="26" customHeight="1">
      <c r="A245" s="345" t="str">
        <v>U067</v>
      </c>
      <c r="B245" s="346" t="str">
        <v>۱۴۰۵/۰۵/۱۶</v>
      </c>
      <c r="C245" s="346" t="str">
        <v>۱۴۰۵/۰۵/۱۷</v>
      </c>
      <c r="D245" s="346" t="n">
        <v>1</v>
      </c>
      <c r="E245" s="346" t="str">
        <v>رفع برخورد و حفظ محدودیت دو درس</v>
      </c>
      <c r="F245" s="346" t="str">
        <v>نظریه‌های روان‌درمانی پروچاسکا</v>
      </c>
      <c r="G245" s="346" t="str">
        <v>شکست/ضعف ← ضریب ← سررسید</v>
      </c>
      <c r="H245" s="346" t="str">
        <v>معتبر/انتقال نهایی</v>
      </c>
      <c r="I245" s="346"/>
      <c r="J245" s="346"/>
      <c r="K245" s="346"/>
      <c r="L245" s="346"/>
      <c r="M245" s="347"/>
    </row>
    <row r="246" ht="26" customHeight="1">
      <c r="A246" s="366" t="str">
        <v>U068</v>
      </c>
      <c r="B246" s="367" t="str">
        <v>۱۴۰۵/۰۵/۱۶</v>
      </c>
      <c r="C246" s="367" t="str">
        <v>۱۴۰۵/۰۵/۱۷</v>
      </c>
      <c r="D246" s="367" t="n">
        <v>1</v>
      </c>
      <c r="E246" s="367" t="str">
        <v>رفع برخورد و حفظ محدودیت دو درس</v>
      </c>
      <c r="F246" s="367" t="str">
        <v>نظریه‌های روان‌درمانی پروچاسکا</v>
      </c>
      <c r="G246" s="367" t="str">
        <v>شکست/ضعف ← ضریب ← سررسید</v>
      </c>
      <c r="H246" s="367" t="str">
        <v>معتبر/انتقال نهایی</v>
      </c>
      <c r="I246" s="367"/>
      <c r="J246" s="367"/>
      <c r="K246" s="367"/>
      <c r="L246" s="367"/>
      <c r="M246" s="368"/>
    </row>
    <row r="247" ht="26" customHeight="1">
      <c r="A247" s="345" t="str">
        <v>U069</v>
      </c>
      <c r="B247" s="346" t="str">
        <v>۱۴۰۵/۰۵/۲۰</v>
      </c>
      <c r="C247" s="346" t="str">
        <v>۱۴۰۵/۰۵/۲۱</v>
      </c>
      <c r="D247" s="346" t="n">
        <v>1</v>
      </c>
      <c r="E247" s="346" t="str">
        <v>رفع برخورد و حفظ محدودیت دو درس</v>
      </c>
      <c r="F247" s="346" t="str">
        <v>نظریه‌های روان‌درمانی پروچاسکا</v>
      </c>
      <c r="G247" s="346" t="str">
        <v>شکست/ضعف ← ضریب ← سررسید</v>
      </c>
      <c r="H247" s="346" t="str">
        <v>معتبر/انتقال نهایی</v>
      </c>
      <c r="I247" s="346"/>
      <c r="J247" s="346"/>
      <c r="K247" s="346"/>
      <c r="L247" s="346"/>
      <c r="M247" s="347"/>
    </row>
    <row r="248" ht="26" customHeight="1">
      <c r="A248" s="366" t="str">
        <v>U069</v>
      </c>
      <c r="B248" s="367" t="str">
        <v>۱۴۰۵/۰۵/۲۴</v>
      </c>
      <c r="C248" s="367" t="str">
        <v>۱۴۰۵/۰۵/۲۵</v>
      </c>
      <c r="D248" s="367" t="n">
        <v>1</v>
      </c>
      <c r="E248" s="367" t="str">
        <v>رفع برخورد و حفظ محدودیت دو درس</v>
      </c>
      <c r="F248" s="367" t="str">
        <v>نظریه‌های روان‌درمانی پروچاسکا</v>
      </c>
      <c r="G248" s="367" t="str">
        <v>شکست/ضعف ← ضریب ← سررسید</v>
      </c>
      <c r="H248" s="367" t="str">
        <v>معتبر/انتقال نهایی</v>
      </c>
      <c r="I248" s="367"/>
      <c r="J248" s="367"/>
      <c r="K248" s="367"/>
      <c r="L248" s="367"/>
      <c r="M248" s="368"/>
    </row>
    <row r="249" ht="26" customHeight="1">
      <c r="A249" s="345" t="str">
        <v>U069</v>
      </c>
      <c r="B249" s="346" t="str">
        <v>۱۴۰۵/۰۵/۳۱</v>
      </c>
      <c r="C249" s="346" t="str">
        <v>۱۴۰۵/۰۶/۰۱</v>
      </c>
      <c r="D249" s="346" t="n">
        <v>1</v>
      </c>
      <c r="E249" s="346" t="str">
        <v>رفع برخورد و حفظ محدودیت دو درس</v>
      </c>
      <c r="F249" s="346" t="str">
        <v>نظریه‌های روان‌درمانی پروچاسکا</v>
      </c>
      <c r="G249" s="346" t="str">
        <v>شکست/ضعف ← ضریب ← سررسید</v>
      </c>
      <c r="H249" s="346" t="str">
        <v>معتبر/انتقال نهایی</v>
      </c>
      <c r="I249" s="346"/>
      <c r="J249" s="346"/>
      <c r="K249" s="346"/>
      <c r="L249" s="346"/>
      <c r="M249" s="347"/>
    </row>
    <row r="250" ht="26" customHeight="1">
      <c r="A250" s="366" t="str">
        <v>U069</v>
      </c>
      <c r="B250" s="367" t="str">
        <v>۱۴۰۵/۰۶/۱۴</v>
      </c>
      <c r="C250" s="367" t="str">
        <v>۱۴۰۵/۰۶/۱۵</v>
      </c>
      <c r="D250" s="367" t="n">
        <v>1</v>
      </c>
      <c r="E250" s="367" t="str">
        <v>رفع برخورد و حفظ محدودیت دو درس</v>
      </c>
      <c r="F250" s="367" t="str">
        <v>نظریه‌های روان‌درمانی پروچاسکا</v>
      </c>
      <c r="G250" s="367" t="str">
        <v>شکست/ضعف ← ضریب ← سررسید</v>
      </c>
      <c r="H250" s="367" t="str">
        <v>معتبر/انتقال نهایی</v>
      </c>
      <c r="I250" s="367"/>
      <c r="J250" s="367"/>
      <c r="K250" s="367"/>
      <c r="L250" s="367"/>
      <c r="M250" s="368"/>
    </row>
    <row r="251" ht="26" customHeight="1">
      <c r="A251" s="345" t="str">
        <v>U071</v>
      </c>
      <c r="B251" s="346" t="str">
        <v>۱۴۰۵/۰۵/۲۰</v>
      </c>
      <c r="C251" s="346" t="str">
        <v>۱۴۰۵/۰۵/۲۱</v>
      </c>
      <c r="D251" s="346" t="n">
        <v>1</v>
      </c>
      <c r="E251" s="346" t="str">
        <v>رفع برخورد و حفظ محدودیت دو درس</v>
      </c>
      <c r="F251" s="346" t="str">
        <v>نظریه‌های روان‌درمانی پروچاسکا</v>
      </c>
      <c r="G251" s="346" t="str">
        <v>شکست/ضعف ← ضریب ← سررسید</v>
      </c>
      <c r="H251" s="346" t="str">
        <v>معتبر/انتقال نهایی</v>
      </c>
      <c r="I251" s="346"/>
      <c r="J251" s="346"/>
      <c r="K251" s="346"/>
      <c r="L251" s="346"/>
      <c r="M251" s="347"/>
    </row>
    <row r="252" ht="26" customHeight="1">
      <c r="A252" s="366" t="str">
        <v>U071</v>
      </c>
      <c r="B252" s="367" t="str">
        <v>۱۴۰۵/۰۵/۲۶</v>
      </c>
      <c r="C252" s="367" t="str">
        <v>۱۴۰۵/۰۵/۲۷</v>
      </c>
      <c r="D252" s="367" t="n">
        <v>1</v>
      </c>
      <c r="E252" s="367" t="str">
        <v>رفع برخورد و حفظ محدودیت دو درس</v>
      </c>
      <c r="F252" s="367" t="str">
        <v>نظریه‌های روان‌درمانی پروچاسکا</v>
      </c>
      <c r="G252" s="367" t="str">
        <v>شکست/ضعف ← ضریب ← سررسید</v>
      </c>
      <c r="H252" s="367" t="str">
        <v>معتبر/انتقال نهایی</v>
      </c>
      <c r="I252" s="367"/>
      <c r="J252" s="367"/>
      <c r="K252" s="367"/>
      <c r="L252" s="367"/>
      <c r="M252" s="368"/>
    </row>
    <row r="253" ht="26" customHeight="1">
      <c r="A253" s="345" t="str">
        <v>U071</v>
      </c>
      <c r="B253" s="346" t="str">
        <v>۱۴۰۵/۰۶/۰۲</v>
      </c>
      <c r="C253" s="346" t="str">
        <v>۱۴۰۵/۰۶/۰۳</v>
      </c>
      <c r="D253" s="346" t="n">
        <v>1</v>
      </c>
      <c r="E253" s="346" t="str">
        <v>رفع برخورد و حفظ محدودیت دو درس</v>
      </c>
      <c r="F253" s="346" t="str">
        <v>نظریه‌های روان‌درمانی پروچاسکا</v>
      </c>
      <c r="G253" s="346" t="str">
        <v>شکست/ضعف ← ضریب ← سررسید</v>
      </c>
      <c r="H253" s="346" t="str">
        <v>معتبر/انتقال نهایی</v>
      </c>
      <c r="I253" s="346"/>
      <c r="J253" s="346"/>
      <c r="K253" s="346"/>
      <c r="L253" s="346"/>
      <c r="M253" s="347"/>
    </row>
    <row r="254" ht="26" customHeight="1">
      <c r="A254" s="366" t="str">
        <v>U071</v>
      </c>
      <c r="B254" s="367" t="str">
        <v>۱۴۰۵/۰۶/۱۶</v>
      </c>
      <c r="C254" s="367" t="str">
        <v>۱۴۰۵/۰۶/۱۷</v>
      </c>
      <c r="D254" s="367" t="n">
        <v>1</v>
      </c>
      <c r="E254" s="367" t="str">
        <v>رفع برخورد و حفظ محدودیت دو درس</v>
      </c>
      <c r="F254" s="367" t="str">
        <v>نظریه‌های روان‌درمانی پروچاسکا</v>
      </c>
      <c r="G254" s="367" t="str">
        <v>شکست/ضعف ← ضریب ← سررسید</v>
      </c>
      <c r="H254" s="367" t="str">
        <v>معتبر/انتقال نهایی</v>
      </c>
      <c r="I254" s="367"/>
      <c r="J254" s="367"/>
      <c r="K254" s="367"/>
      <c r="L254" s="367"/>
      <c r="M254" s="368"/>
    </row>
    <row r="255" ht="26" customHeight="1">
      <c r="A255" s="345" t="str">
        <v>U072</v>
      </c>
      <c r="B255" s="346" t="str">
        <v>۱۴۰۵/۰۵/۲۰</v>
      </c>
      <c r="C255" s="346" t="str">
        <v>۱۴۰۵/۰۵/۲۱</v>
      </c>
      <c r="D255" s="346" t="n">
        <v>1</v>
      </c>
      <c r="E255" s="346" t="str">
        <v>رفع برخورد و حفظ محدودیت دو درس</v>
      </c>
      <c r="F255" s="346" t="str">
        <v>نظریه‌های روان‌درمانی پروچاسکا</v>
      </c>
      <c r="G255" s="346" t="str">
        <v>شکست/ضعف ← ضریب ← سررسید</v>
      </c>
      <c r="H255" s="346" t="str">
        <v>معتبر/انتقال نهایی</v>
      </c>
      <c r="I255" s="346"/>
      <c r="J255" s="346"/>
      <c r="K255" s="346"/>
      <c r="L255" s="346"/>
      <c r="M255" s="347"/>
    </row>
    <row r="256" ht="26" customHeight="1">
      <c r="A256" s="366" t="str">
        <v>U072</v>
      </c>
      <c r="B256" s="367" t="str">
        <v>۱۴۰۵/۰۵/۲۶</v>
      </c>
      <c r="C256" s="367" t="str">
        <v>۱۴۰۵/۰۵/۲۷</v>
      </c>
      <c r="D256" s="367" t="n">
        <v>1</v>
      </c>
      <c r="E256" s="367" t="str">
        <v>رفع برخورد و حفظ محدودیت دو درس</v>
      </c>
      <c r="F256" s="367" t="str">
        <v>نظریه‌های روان‌درمانی پروچاسکا</v>
      </c>
      <c r="G256" s="367" t="str">
        <v>شکست/ضعف ← ضریب ← سررسید</v>
      </c>
      <c r="H256" s="367" t="str">
        <v>معتبر/انتقال نهایی</v>
      </c>
      <c r="I256" s="367"/>
      <c r="J256" s="367"/>
      <c r="K256" s="367"/>
      <c r="L256" s="367"/>
      <c r="M256" s="368"/>
    </row>
    <row r="257" ht="26" customHeight="1">
      <c r="A257" s="345" t="str">
        <v>U072</v>
      </c>
      <c r="B257" s="346" t="str">
        <v>۱۴۰۵/۰۶/۰۲</v>
      </c>
      <c r="C257" s="346" t="str">
        <v>۱۴۰۵/۰۶/۰۳</v>
      </c>
      <c r="D257" s="346" t="n">
        <v>1</v>
      </c>
      <c r="E257" s="346" t="str">
        <v>رفع برخورد و حفظ محدودیت دو درس</v>
      </c>
      <c r="F257" s="346" t="str">
        <v>نظریه‌های روان‌درمانی پروچاسکا</v>
      </c>
      <c r="G257" s="346" t="str">
        <v>شکست/ضعف ← ضریب ← سررسید</v>
      </c>
      <c r="H257" s="346" t="str">
        <v>معتبر/انتقال نهایی</v>
      </c>
      <c r="I257" s="346"/>
      <c r="J257" s="346"/>
      <c r="K257" s="346"/>
      <c r="L257" s="346"/>
      <c r="M257" s="347"/>
    </row>
    <row r="258" ht="26" customHeight="1">
      <c r="A258" s="366" t="str">
        <v>U072</v>
      </c>
      <c r="B258" s="367" t="str">
        <v>۱۴۰۵/۰۶/۱۶</v>
      </c>
      <c r="C258" s="367" t="str">
        <v>۱۴۰۵/۰۶/۱۷</v>
      </c>
      <c r="D258" s="367" t="n">
        <v>1</v>
      </c>
      <c r="E258" s="367" t="str">
        <v>رفع برخورد و حفظ محدودیت دو درس</v>
      </c>
      <c r="F258" s="367" t="str">
        <v>نظریه‌های روان‌درمانی پروچاسکا</v>
      </c>
      <c r="G258" s="367" t="str">
        <v>شکست/ضعف ← ضریب ← سررسید</v>
      </c>
      <c r="H258" s="367" t="str">
        <v>معتبر/انتقال نهایی</v>
      </c>
      <c r="I258" s="367"/>
      <c r="J258" s="367"/>
      <c r="K258" s="367"/>
      <c r="L258" s="367"/>
      <c r="M258" s="368"/>
    </row>
    <row r="259" ht="26" customHeight="1">
      <c r="A259" s="345" t="str">
        <v>U073</v>
      </c>
      <c r="B259" s="346" t="str">
        <v>۱۴۰۵/۰۵/۲۴</v>
      </c>
      <c r="C259" s="346" t="str">
        <v>۱۴۰۵/۰۵/۲۵</v>
      </c>
      <c r="D259" s="346" t="n">
        <v>1</v>
      </c>
      <c r="E259" s="346" t="str">
        <v>رفع برخورد و حفظ محدودیت دو درس</v>
      </c>
      <c r="F259" s="346" t="str">
        <v>نظریه‌های روان‌درمانی پروچاسکا</v>
      </c>
      <c r="G259" s="346" t="str">
        <v>شکست/ضعف ← ضریب ← سررسید</v>
      </c>
      <c r="H259" s="346" t="str">
        <v>معتبر/انتقال نهایی</v>
      </c>
      <c r="I259" s="346"/>
      <c r="J259" s="346"/>
      <c r="K259" s="346"/>
      <c r="L259" s="346"/>
      <c r="M259" s="347"/>
    </row>
    <row r="260" ht="26" customHeight="1">
      <c r="A260" s="366" t="str">
        <v>U076</v>
      </c>
      <c r="B260" s="367" t="str">
        <v>۱۴۰۵/۰۵/۲۴</v>
      </c>
      <c r="C260" s="367" t="str">
        <v>۱۴۰۵/۰۵/۲۵</v>
      </c>
      <c r="D260" s="367" t="n">
        <v>1</v>
      </c>
      <c r="E260" s="367" t="str">
        <v>رفع برخورد و حفظ محدودیت دو درس</v>
      </c>
      <c r="F260" s="367" t="str">
        <v>نظریه‌های روان‌درمانی پروچاسکا</v>
      </c>
      <c r="G260" s="367" t="str">
        <v>شکست/ضعف ← ضریب ← سررسید</v>
      </c>
      <c r="H260" s="367" t="str">
        <v>معتبر/انتقال نهایی</v>
      </c>
      <c r="I260" s="367"/>
      <c r="J260" s="367"/>
      <c r="K260" s="367"/>
      <c r="L260" s="367"/>
      <c r="M260" s="368"/>
    </row>
    <row r="261" ht="26" customHeight="1">
      <c r="A261" s="345" t="str">
        <v>U076</v>
      </c>
      <c r="B261" s="346" t="str">
        <v>۱۴۰۵/۰۵/۲۶</v>
      </c>
      <c r="C261" s="346" t="str">
        <v>۱۴۰۵/۰۵/۲۷</v>
      </c>
      <c r="D261" s="346" t="n">
        <v>1</v>
      </c>
      <c r="E261" s="346" t="str">
        <v>رفع برخورد و حفظ محدودیت دو درس</v>
      </c>
      <c r="F261" s="346" t="str">
        <v>نظریه‌های روان‌درمانی پروچاسکا</v>
      </c>
      <c r="G261" s="346" t="str">
        <v>شکست/ضعف ← ضریب ← سررسید</v>
      </c>
      <c r="H261" s="346" t="str">
        <v>معتبر/انتقال نهایی</v>
      </c>
      <c r="I261" s="346"/>
      <c r="J261" s="346"/>
      <c r="K261" s="346"/>
      <c r="L261" s="346"/>
      <c r="M261" s="347"/>
    </row>
    <row r="262" ht="26" customHeight="1">
      <c r="A262" s="366" t="str">
        <v>U077</v>
      </c>
      <c r="B262" s="367" t="str">
        <v>۱۴۰۵/۰۵/۲۶</v>
      </c>
      <c r="C262" s="367" t="str">
        <v>۱۴۰۵/۰۵/۲۷</v>
      </c>
      <c r="D262" s="367" t="n">
        <v>1</v>
      </c>
      <c r="E262" s="367" t="str">
        <v>رفع برخورد و حفظ محدودیت دو درس</v>
      </c>
      <c r="F262" s="367" t="str">
        <v>نظریه‌های روان‌درمانی پروچاسکا</v>
      </c>
      <c r="G262" s="367" t="str">
        <v>شکست/ضعف ← ضریب ← سررسید</v>
      </c>
      <c r="H262" s="367" t="str">
        <v>معتبر/انتقال نهایی</v>
      </c>
      <c r="I262" s="367"/>
      <c r="J262" s="367"/>
      <c r="K262" s="367"/>
      <c r="L262" s="367"/>
      <c r="M262" s="368"/>
    </row>
    <row r="263" ht="26" customHeight="1">
      <c r="A263" s="345" t="str">
        <v>U078</v>
      </c>
      <c r="B263" s="346" t="str">
        <v>۱۴۰۵/۰۵/۲۶</v>
      </c>
      <c r="C263" s="346" t="str">
        <v>۱۴۰۵/۰۵/۲۷</v>
      </c>
      <c r="D263" s="346" t="n">
        <v>1</v>
      </c>
      <c r="E263" s="346" t="str">
        <v>رفع برخورد و حفظ محدودیت دو درس</v>
      </c>
      <c r="F263" s="346" t="str">
        <v>نظریه‌های روان‌درمانی پروچاسکا</v>
      </c>
      <c r="G263" s="346" t="str">
        <v>شکست/ضعف ← ضریب ← سررسید</v>
      </c>
      <c r="H263" s="346" t="str">
        <v>معتبر/انتقال نهایی</v>
      </c>
      <c r="I263" s="346"/>
      <c r="J263" s="346"/>
      <c r="K263" s="346"/>
      <c r="L263" s="346"/>
      <c r="M263" s="347"/>
    </row>
    <row r="264" ht="26" customHeight="1">
      <c r="A264" s="366" t="str">
        <v>U080</v>
      </c>
      <c r="B264" s="367" t="str">
        <v>۱۴۰۵/۰۵/۳۱</v>
      </c>
      <c r="C264" s="367" t="str">
        <v>۱۴۰۵/۰۶/۰۱</v>
      </c>
      <c r="D264" s="367" t="n">
        <v>1</v>
      </c>
      <c r="E264" s="367" t="str">
        <v>رفع برخورد و حفظ محدودیت دو درس</v>
      </c>
      <c r="F264" s="367" t="str">
        <v>نظریه‌های روان‌درمانی پروچاسکا</v>
      </c>
      <c r="G264" s="367" t="str">
        <v>شکست/ضعف ← ضریب ← سررسید</v>
      </c>
      <c r="H264" s="367" t="str">
        <v>معتبر/انتقال نهایی</v>
      </c>
      <c r="I264" s="367"/>
      <c r="J264" s="367"/>
      <c r="K264" s="367"/>
      <c r="L264" s="367"/>
      <c r="M264" s="368"/>
    </row>
    <row r="265" ht="26" customHeight="1">
      <c r="A265" s="345" t="str">
        <v>U082</v>
      </c>
      <c r="B265" s="346" t="str">
        <v>۱۴۰۵/۰۵/۳۱</v>
      </c>
      <c r="C265" s="346" t="str">
        <v>۱۴۰۵/۰۶/۰۱</v>
      </c>
      <c r="D265" s="346" t="n">
        <v>1</v>
      </c>
      <c r="E265" s="346" t="str">
        <v>رفع برخورد و حفظ محدودیت دو درس</v>
      </c>
      <c r="F265" s="346" t="str">
        <v>نظریه‌های روان‌درمانی پروچاسکا</v>
      </c>
      <c r="G265" s="346" t="str">
        <v>شکست/ضعف ← ضریب ← سررسید</v>
      </c>
      <c r="H265" s="346" t="str">
        <v>معتبر/انتقال نهایی</v>
      </c>
      <c r="I265" s="346"/>
      <c r="J265" s="346"/>
      <c r="K265" s="346"/>
      <c r="L265" s="346"/>
      <c r="M265" s="347"/>
    </row>
    <row r="266" ht="26" customHeight="1">
      <c r="A266" s="366" t="str">
        <v>U082</v>
      </c>
      <c r="B266" s="367" t="str">
        <v>۱۴۰۵/۰۶/۰۲</v>
      </c>
      <c r="C266" s="367" t="str">
        <v>۱۴۰۵/۰۶/۰۳</v>
      </c>
      <c r="D266" s="367" t="n">
        <v>1</v>
      </c>
      <c r="E266" s="367" t="str">
        <v>رفع برخورد و حفظ محدودیت دو درس</v>
      </c>
      <c r="F266" s="367" t="str">
        <v>نظریه‌های روان‌درمانی پروچاسکا</v>
      </c>
      <c r="G266" s="367" t="str">
        <v>شکست/ضعف ← ضریب ← سررسید</v>
      </c>
      <c r="H266" s="367" t="str">
        <v>معتبر/انتقال نهایی</v>
      </c>
      <c r="I266" s="367"/>
      <c r="J266" s="367"/>
      <c r="K266" s="367"/>
      <c r="L266" s="367"/>
      <c r="M266" s="368"/>
    </row>
    <row r="267" ht="26" customHeight="1">
      <c r="A267" s="345" t="str">
        <v>U082</v>
      </c>
      <c r="B267" s="346" t="str">
        <v>۱۴۰۵/۰۶/۲۷</v>
      </c>
      <c r="C267" s="346" t="str">
        <v>۱۴۰۵/۰۶/۲۸</v>
      </c>
      <c r="D267" s="346" t="n">
        <v>1</v>
      </c>
      <c r="E267" s="346" t="str">
        <v>رفع برخورد و حفظ محدودیت دو درس</v>
      </c>
      <c r="F267" s="346" t="str">
        <v>نظریه‌های روان‌درمانی پروچاسکا</v>
      </c>
      <c r="G267" s="346" t="str">
        <v>شکست/ضعف ← ضریب ← سررسید</v>
      </c>
      <c r="H267" s="346" t="str">
        <v>معتبر/انتقال نهایی</v>
      </c>
      <c r="I267" s="346"/>
      <c r="J267" s="346"/>
      <c r="K267" s="346"/>
      <c r="L267" s="346"/>
      <c r="M267" s="347"/>
    </row>
    <row r="268" ht="26" customHeight="1">
      <c r="A268" s="366" t="str">
        <v>U083</v>
      </c>
      <c r="B268" s="367" t="str">
        <v>۱۴۰۵/۰۵/۳۱</v>
      </c>
      <c r="C268" s="367" t="str">
        <v>۱۴۰۵/۰۶/۰۱</v>
      </c>
      <c r="D268" s="367" t="n">
        <v>1</v>
      </c>
      <c r="E268" s="367" t="str">
        <v>رفع برخورد و حفظ محدودیت دو درس</v>
      </c>
      <c r="F268" s="367" t="str">
        <v>نظریه‌های روان‌درمانی پروچاسکا</v>
      </c>
      <c r="G268" s="367" t="str">
        <v>شکست/ضعف ← ضریب ← سررسید</v>
      </c>
      <c r="H268" s="367" t="str">
        <v>معتبر/انتقال نهایی</v>
      </c>
      <c r="I268" s="367"/>
      <c r="J268" s="367"/>
      <c r="K268" s="367"/>
      <c r="L268" s="367"/>
      <c r="M268" s="368"/>
    </row>
    <row r="269" ht="26" customHeight="1">
      <c r="A269" s="345" t="str">
        <v>U083</v>
      </c>
      <c r="B269" s="346" t="str">
        <v>۱۴۰۵/۰۶/۰۲</v>
      </c>
      <c r="C269" s="346" t="str">
        <v>۱۴۰۵/۰۶/۰۳</v>
      </c>
      <c r="D269" s="346" t="n">
        <v>1</v>
      </c>
      <c r="E269" s="346" t="str">
        <v>رفع برخورد و حفظ محدودیت دو درس</v>
      </c>
      <c r="F269" s="346" t="str">
        <v>نظریه‌های روان‌درمانی پروچاسکا</v>
      </c>
      <c r="G269" s="346" t="str">
        <v>شکست/ضعف ← ضریب ← سررسید</v>
      </c>
      <c r="H269" s="346" t="str">
        <v>معتبر/انتقال نهایی</v>
      </c>
      <c r="I269" s="346"/>
      <c r="J269" s="346"/>
      <c r="K269" s="346"/>
      <c r="L269" s="346"/>
      <c r="M269" s="347"/>
    </row>
    <row r="270" ht="26" customHeight="1">
      <c r="A270" s="366" t="str">
        <v>U083</v>
      </c>
      <c r="B270" s="367" t="str">
        <v>۱۴۰۵/۰۶/۲۷</v>
      </c>
      <c r="C270" s="367" t="str">
        <v>۱۴۰۵/۰۶/۲۸</v>
      </c>
      <c r="D270" s="367" t="n">
        <v>1</v>
      </c>
      <c r="E270" s="367" t="str">
        <v>رفع برخورد و حفظ محدودیت دو درس</v>
      </c>
      <c r="F270" s="367" t="str">
        <v>نظریه‌های روان‌درمانی پروچاسکا</v>
      </c>
      <c r="G270" s="367" t="str">
        <v>شکست/ضعف ← ضریب ← سررسید</v>
      </c>
      <c r="H270" s="367" t="str">
        <v>معتبر/انتقال نهایی</v>
      </c>
      <c r="I270" s="367"/>
      <c r="J270" s="367"/>
      <c r="K270" s="367"/>
      <c r="L270" s="367"/>
      <c r="M270" s="368"/>
    </row>
    <row r="271" ht="26" customHeight="1">
      <c r="A271" s="345" t="str">
        <v>U084</v>
      </c>
      <c r="B271" s="346" t="str">
        <v>۱۴۰۵/۰۶/۰۲</v>
      </c>
      <c r="C271" s="346" t="str">
        <v>۱۴۰۵/۰۶/۰۳</v>
      </c>
      <c r="D271" s="346" t="n">
        <v>1</v>
      </c>
      <c r="E271" s="346" t="str">
        <v>رفع برخورد و حفظ محدودیت دو درس</v>
      </c>
      <c r="F271" s="346" t="str">
        <v>نظریه‌های روان‌درمانی پروچاسکا</v>
      </c>
      <c r="G271" s="346" t="str">
        <v>شکست/ضعف ← ضریب ← سررسید</v>
      </c>
      <c r="H271" s="346" t="str">
        <v>معتبر/انتقال نهایی</v>
      </c>
      <c r="I271" s="346"/>
      <c r="J271" s="346"/>
      <c r="K271" s="346"/>
      <c r="L271" s="346"/>
      <c r="M271" s="347"/>
    </row>
    <row r="272" ht="26" customHeight="1">
      <c r="A272" s="366" t="str">
        <v>U086</v>
      </c>
      <c r="B272" s="367" t="str">
        <v>۱۴۰۵/۰۶/۰۷</v>
      </c>
      <c r="C272" s="367" t="str">
        <v>۱۴۰۵/۰۶/۰۸</v>
      </c>
      <c r="D272" s="367" t="n">
        <v>1</v>
      </c>
      <c r="E272" s="367" t="str">
        <v>رفع برخورد و حفظ محدودیت دو درس</v>
      </c>
      <c r="F272" s="367" t="str">
        <v>نظریه‌های روان‌درمانی پروچاسکا</v>
      </c>
      <c r="G272" s="367" t="str">
        <v>شکست/ضعف ← ضریب ← سررسید</v>
      </c>
      <c r="H272" s="367" t="str">
        <v>معتبر/انتقال نهایی</v>
      </c>
      <c r="I272" s="367"/>
      <c r="J272" s="367"/>
      <c r="K272" s="367"/>
      <c r="L272" s="367"/>
      <c r="M272" s="368"/>
    </row>
    <row r="273" ht="26" customHeight="1">
      <c r="A273" s="345" t="str">
        <v>U087</v>
      </c>
      <c r="B273" s="346" t="str">
        <v>۱۴۰۵/۰۷/۰۲</v>
      </c>
      <c r="C273" s="346" t="str">
        <v>۱۴۰۵/۰۷/۰۱</v>
      </c>
      <c r="D273" s="346" t="n">
        <v>-1</v>
      </c>
      <c r="E273" s="346" t="str">
        <v>رفع برخورد و حفظ محدودیت دو درس</v>
      </c>
      <c r="F273" s="346" t="str">
        <v>نظریه‌های روان‌درمانی پروچاسکا</v>
      </c>
      <c r="G273" s="346" t="str">
        <v>شکست/ضعف ← ضریب ← سررسید</v>
      </c>
      <c r="H273" s="346" t="str">
        <v>معتبر/انتقال نهایی</v>
      </c>
      <c r="I273" s="346"/>
      <c r="J273" s="346"/>
      <c r="K273" s="346"/>
      <c r="L273" s="346"/>
      <c r="M273" s="347"/>
    </row>
    <row r="274" ht="26" customHeight="1">
      <c r="A274" s="366" t="str">
        <v>U088</v>
      </c>
      <c r="B274" s="367" t="str">
        <v>۱۴۰۵/۰۷/۰۲</v>
      </c>
      <c r="C274" s="367" t="str">
        <v>۱۴۰۵/۰۷/۰۱</v>
      </c>
      <c r="D274" s="367" t="n">
        <v>-1</v>
      </c>
      <c r="E274" s="367" t="str">
        <v>رفع برخورد و حفظ محدودیت دو درس</v>
      </c>
      <c r="F274" s="367" t="str">
        <v>نظریه‌های روان‌درمانی پروچاسکا</v>
      </c>
      <c r="G274" s="367" t="str">
        <v>شکست/ضعف ← ضریب ← سررسید</v>
      </c>
      <c r="H274" s="367" t="str">
        <v>معتبر/انتقال نهایی</v>
      </c>
      <c r="I274" s="367"/>
      <c r="J274" s="367"/>
      <c r="K274" s="367"/>
      <c r="L274" s="367"/>
      <c r="M274" s="368"/>
    </row>
    <row r="275" ht="26" customHeight="1">
      <c r="A275" s="345" t="str">
        <v>U089</v>
      </c>
      <c r="B275" s="346" t="str">
        <v>۱۴۰۵/۰۶/۰۷</v>
      </c>
      <c r="C275" s="346" t="str">
        <v>۱۴۰۵/۰۶/۰۸</v>
      </c>
      <c r="D275" s="346" t="n">
        <v>1</v>
      </c>
      <c r="E275" s="346" t="str">
        <v>رفع برخورد و حفظ محدودیت دو درس</v>
      </c>
      <c r="F275" s="346" t="str">
        <v>نظریه‌های روان‌درمانی پروچاسکا</v>
      </c>
      <c r="G275" s="346" t="str">
        <v>شکست/ضعف ← ضریب ← سررسید</v>
      </c>
      <c r="H275" s="346" t="str">
        <v>معتبر/انتقال نهایی</v>
      </c>
      <c r="I275" s="346"/>
      <c r="J275" s="346"/>
      <c r="K275" s="346"/>
      <c r="L275" s="346"/>
      <c r="M275" s="347"/>
    </row>
    <row r="276" ht="26" customHeight="1">
      <c r="A276" s="366" t="str">
        <v>U089</v>
      </c>
      <c r="B276" s="367" t="str">
        <v>۱۴۰۵/۰۶/۰۹</v>
      </c>
      <c r="C276" s="367" t="str">
        <v>۱۴۰۵/۰۶/۱۰</v>
      </c>
      <c r="D276" s="367" t="n">
        <v>1</v>
      </c>
      <c r="E276" s="367" t="str">
        <v>رفع برخورد و حفظ محدودیت دو درس</v>
      </c>
      <c r="F276" s="367" t="str">
        <v>نظریه‌های روان‌درمانی پروچاسکا</v>
      </c>
      <c r="G276" s="367" t="str">
        <v>شکست/ضعف ← ضریب ← سررسید</v>
      </c>
      <c r="H276" s="367" t="str">
        <v>معتبر/انتقال نهایی</v>
      </c>
      <c r="I276" s="367"/>
      <c r="J276" s="367"/>
      <c r="K276" s="367"/>
      <c r="L276" s="367"/>
      <c r="M276" s="368"/>
    </row>
    <row r="277" ht="26" customHeight="1">
      <c r="A277" s="345" t="str">
        <v>U089</v>
      </c>
      <c r="B277" s="346" t="str">
        <v>۱۴۰۵/۰۷/۰۳</v>
      </c>
      <c r="C277" s="346" t="str">
        <v>۱۴۰۵/۰۷/۰۴</v>
      </c>
      <c r="D277" s="346" t="n">
        <v>1</v>
      </c>
      <c r="E277" s="346" t="str">
        <v>رفع برخورد و حفظ محدودیت دو درس</v>
      </c>
      <c r="F277" s="346" t="str">
        <v>نظریه‌های روان‌درمانی پروچاسکا</v>
      </c>
      <c r="G277" s="346" t="str">
        <v>شکست/ضعف ← ضریب ← سررسید</v>
      </c>
      <c r="H277" s="346" t="str">
        <v>معتبر/انتقال نهایی</v>
      </c>
      <c r="I277" s="346"/>
      <c r="J277" s="346"/>
      <c r="K277" s="346"/>
      <c r="L277" s="346"/>
      <c r="M277" s="347"/>
    </row>
    <row r="278" ht="26" customHeight="1">
      <c r="A278" s="366" t="str">
        <v>U090</v>
      </c>
      <c r="B278" s="367" t="str">
        <v>۱۴۰۵/۰۶/۰۹</v>
      </c>
      <c r="C278" s="367" t="str">
        <v>۱۴۰۵/۰۶/۱۰</v>
      </c>
      <c r="D278" s="367" t="n">
        <v>1</v>
      </c>
      <c r="E278" s="367" t="str">
        <v>رفع برخورد و حفظ محدودیت دو درس</v>
      </c>
      <c r="F278" s="367" t="str">
        <v>نظریه‌های روان‌درمانی پروچاسکا</v>
      </c>
      <c r="G278" s="367" t="str">
        <v>شکست/ضعف ← ضریب ← سررسید</v>
      </c>
      <c r="H278" s="367" t="str">
        <v>معتبر/انتقال نهایی</v>
      </c>
      <c r="I278" s="367"/>
      <c r="J278" s="367"/>
      <c r="K278" s="367"/>
      <c r="L278" s="367"/>
      <c r="M278" s="368"/>
    </row>
    <row r="279" ht="26" customHeight="1">
      <c r="A279" s="345" t="str">
        <v>U090</v>
      </c>
      <c r="B279" s="346" t="str">
        <v>۱۴۰۵/۰۷/۰۵</v>
      </c>
      <c r="C279" s="346" t="str">
        <v>۱۴۰۵/۰۷/۰۶</v>
      </c>
      <c r="D279" s="346" t="n">
        <v>1</v>
      </c>
      <c r="E279" s="346" t="str">
        <v>رفع برخورد و حفظ محدودیت دو درس</v>
      </c>
      <c r="F279" s="346" t="str">
        <v>نظریه‌های روان‌درمانی پروچاسکا</v>
      </c>
      <c r="G279" s="346" t="str">
        <v>شکست/ضعف ← ضریب ← سررسید</v>
      </c>
      <c r="H279" s="346" t="str">
        <v>معتبر/انتقال نهایی</v>
      </c>
      <c r="I279" s="346"/>
      <c r="J279" s="346"/>
      <c r="K279" s="346"/>
      <c r="L279" s="346"/>
      <c r="M279" s="347"/>
    </row>
    <row r="280" ht="26" customHeight="1">
      <c r="A280" s="366" t="str">
        <v>U091</v>
      </c>
      <c r="B280" s="367" t="str">
        <v>۱۴۰۵/۰۶/۰۹</v>
      </c>
      <c r="C280" s="367" t="str">
        <v>۱۴۰۵/۰۶/۱۰</v>
      </c>
      <c r="D280" s="367" t="n">
        <v>1</v>
      </c>
      <c r="E280" s="367" t="str">
        <v>رفع برخورد و حفظ محدودیت دو درس</v>
      </c>
      <c r="F280" s="367" t="str">
        <v>نظریه‌های روان‌درمانی پروچاسکا</v>
      </c>
      <c r="G280" s="367" t="str">
        <v>شکست/ضعف ← ضریب ← سررسید</v>
      </c>
      <c r="H280" s="367" t="str">
        <v>معتبر/انتقال نهایی</v>
      </c>
      <c r="I280" s="367"/>
      <c r="J280" s="367"/>
      <c r="K280" s="367"/>
      <c r="L280" s="367"/>
      <c r="M280" s="368"/>
    </row>
    <row r="281" ht="26" customHeight="1">
      <c r="A281" s="345" t="str">
        <v>U091</v>
      </c>
      <c r="B281" s="346" t="str">
        <v>۱۴۰۵/۰۷/۰۵</v>
      </c>
      <c r="C281" s="346" t="str">
        <v>۱۴۰۵/۰۷/۰۶</v>
      </c>
      <c r="D281" s="346" t="n">
        <v>1</v>
      </c>
      <c r="E281" s="346" t="str">
        <v>رفع برخورد و حفظ محدودیت دو درس</v>
      </c>
      <c r="F281" s="346" t="str">
        <v>نظریه‌های روان‌درمانی پروچاسکا</v>
      </c>
      <c r="G281" s="346" t="str">
        <v>شکست/ضعف ← ضریب ← سررسید</v>
      </c>
      <c r="H281" s="346" t="str">
        <v>معتبر/انتقال نهایی</v>
      </c>
      <c r="I281" s="346"/>
      <c r="J281" s="346"/>
      <c r="K281" s="346"/>
      <c r="L281" s="346"/>
      <c r="M281" s="347"/>
    </row>
    <row r="282" ht="26" customHeight="1">
      <c r="A282" s="366" t="str">
        <v>U092</v>
      </c>
      <c r="B282" s="367" t="str">
        <v>۱۴۰۵/۰۷/۰۷</v>
      </c>
      <c r="C282" s="367" t="str">
        <v>۱۴۰۵/۰۷/۰۸</v>
      </c>
      <c r="D282" s="367" t="n">
        <v>1</v>
      </c>
      <c r="E282" s="367" t="str">
        <v>رفع برخورد و حفظ محدودیت دو درس</v>
      </c>
      <c r="F282" s="367" t="str">
        <v>نظریه‌های روان‌درمانی پروچاسکا</v>
      </c>
      <c r="G282" s="367" t="str">
        <v>شکست/ضعف ← ضریب ← سررسید</v>
      </c>
      <c r="H282" s="367" t="str">
        <v>معتبر/انتقال نهایی</v>
      </c>
      <c r="I282" s="367"/>
      <c r="J282" s="367"/>
      <c r="K282" s="367"/>
      <c r="L282" s="367"/>
      <c r="M282" s="368"/>
    </row>
    <row r="283" ht="26" customHeight="1">
      <c r="A283" s="345" t="str">
        <v>U093</v>
      </c>
      <c r="B283" s="346" t="str">
        <v>۱۴۰۵/۰۶/۱۴</v>
      </c>
      <c r="C283" s="346" t="str">
        <v>۱۴۰۵/۰۶/۱۵</v>
      </c>
      <c r="D283" s="346" t="n">
        <v>1</v>
      </c>
      <c r="E283" s="346" t="str">
        <v>رفع برخورد و حفظ محدودیت دو درس</v>
      </c>
      <c r="F283" s="346" t="str">
        <v>نظریه‌های روان‌درمانی پروچاسکا</v>
      </c>
      <c r="G283" s="346" t="str">
        <v>شکست/ضعف ← ضریب ← سررسید</v>
      </c>
      <c r="H283" s="346" t="str">
        <v>معتبر/انتقال نهایی</v>
      </c>
      <c r="I283" s="346"/>
      <c r="J283" s="346"/>
      <c r="K283" s="346"/>
      <c r="L283" s="346"/>
      <c r="M283" s="347"/>
    </row>
    <row r="284" ht="26" customHeight="1">
      <c r="A284" s="366" t="str">
        <v>U094</v>
      </c>
      <c r="B284" s="367" t="str">
        <v>۱۴۰۵/۰۷/۰۹</v>
      </c>
      <c r="C284" s="367" t="str">
        <v>۱۴۰۵/۰۷/۰۸</v>
      </c>
      <c r="D284" s="367" t="n">
        <v>-1</v>
      </c>
      <c r="E284" s="367" t="str">
        <v>رفع برخورد و حفظ محدودیت دو درس</v>
      </c>
      <c r="F284" s="367" t="str">
        <v>نظریه‌های روان‌درمانی پروچاسکا</v>
      </c>
      <c r="G284" s="367" t="str">
        <v>شکست/ضعف ← ضریب ← سررسید</v>
      </c>
      <c r="H284" s="367" t="str">
        <v>معتبر/انتقال نهایی</v>
      </c>
      <c r="I284" s="367"/>
      <c r="J284" s="367"/>
      <c r="K284" s="367"/>
      <c r="L284" s="367"/>
      <c r="M284" s="368"/>
    </row>
    <row r="285" ht="26" customHeight="1">
      <c r="A285" s="345" t="str">
        <v>U095</v>
      </c>
      <c r="B285" s="346" t="str">
        <v>۱۴۰۵/۰۷/۰۹</v>
      </c>
      <c r="C285" s="346" t="str">
        <v>۱۴۰۵/۰۷/۰۸</v>
      </c>
      <c r="D285" s="346" t="n">
        <v>-1</v>
      </c>
      <c r="E285" s="346" t="str">
        <v>رفع برخورد و حفظ محدودیت دو درس</v>
      </c>
      <c r="F285" s="346" t="str">
        <v>نظریه‌های روان‌درمانی پروچاسکا</v>
      </c>
      <c r="G285" s="346" t="str">
        <v>شکست/ضعف ← ضریب ← سررسید</v>
      </c>
      <c r="H285" s="346" t="str">
        <v>معتبر/انتقال نهایی</v>
      </c>
      <c r="I285" s="346"/>
      <c r="J285" s="346"/>
      <c r="K285" s="346"/>
      <c r="L285" s="346"/>
      <c r="M285" s="347"/>
    </row>
    <row r="286" ht="26" customHeight="1">
      <c r="A286" s="366" t="str">
        <v>U096</v>
      </c>
      <c r="B286" s="367" t="str">
        <v>۱۴۰۵/۰۶/۱۴</v>
      </c>
      <c r="C286" s="367" t="str">
        <v>۱۴۰۵/۰۶/۱۵</v>
      </c>
      <c r="D286" s="367" t="n">
        <v>1</v>
      </c>
      <c r="E286" s="367" t="str">
        <v>رفع برخورد و حفظ محدودیت دو درس</v>
      </c>
      <c r="F286" s="367" t="str">
        <v>نظریه‌های روان‌درمانی پروچاسکا</v>
      </c>
      <c r="G286" s="367" t="str">
        <v>شکست/ضعف ← ضریب ← سررسید</v>
      </c>
      <c r="H286" s="367" t="str">
        <v>معتبر/انتقال نهایی</v>
      </c>
      <c r="I286" s="367"/>
      <c r="J286" s="367"/>
      <c r="K286" s="367"/>
      <c r="L286" s="367"/>
      <c r="M286" s="368"/>
    </row>
    <row r="287" ht="26" customHeight="1">
      <c r="A287" s="345" t="str">
        <v>U096</v>
      </c>
      <c r="B287" s="346" t="str">
        <v>۱۴۰۵/۰۶/۱۶</v>
      </c>
      <c r="C287" s="346" t="str">
        <v>۱۴۰۵/۰۶/۱۷</v>
      </c>
      <c r="D287" s="346" t="n">
        <v>1</v>
      </c>
      <c r="E287" s="346" t="str">
        <v>رفع برخورد و حفظ محدودیت دو درس</v>
      </c>
      <c r="F287" s="346" t="str">
        <v>نظریه‌های روان‌درمانی پروچاسکا</v>
      </c>
      <c r="G287" s="346" t="str">
        <v>شکست/ضعف ← ضریب ← سررسید</v>
      </c>
      <c r="H287" s="346" t="str">
        <v>معتبر/انتقال نهایی</v>
      </c>
      <c r="I287" s="346"/>
      <c r="J287" s="346"/>
      <c r="K287" s="346"/>
      <c r="L287" s="346"/>
      <c r="M287" s="347"/>
    </row>
    <row r="288" ht="26" customHeight="1">
      <c r="A288" s="366" t="str">
        <v>U096</v>
      </c>
      <c r="B288" s="367" t="str">
        <v>۱۴۰۵/۰۶/۲۷</v>
      </c>
      <c r="C288" s="367" t="str">
        <v>۱۴۰۵/۰۶/۲۸</v>
      </c>
      <c r="D288" s="367" t="n">
        <v>1</v>
      </c>
      <c r="E288" s="367" t="str">
        <v>رفع برخورد و حفظ محدودیت دو درس</v>
      </c>
      <c r="F288" s="367" t="str">
        <v>نظریه‌های روان‌درمانی پروچاسکا</v>
      </c>
      <c r="G288" s="367" t="str">
        <v>شکست/ضعف ← ضریب ← سررسید</v>
      </c>
      <c r="H288" s="367" t="str">
        <v>معتبر/انتقال نهایی</v>
      </c>
      <c r="I288" s="367"/>
      <c r="J288" s="367"/>
      <c r="K288" s="367"/>
      <c r="L288" s="367"/>
      <c r="M288" s="368"/>
    </row>
    <row r="289" ht="26" customHeight="1">
      <c r="A289" s="345" t="str">
        <v>U096</v>
      </c>
      <c r="B289" s="346" t="str">
        <v>۱۴۰۵/۰۷/۱۰</v>
      </c>
      <c r="C289" s="346" t="str">
        <v>۱۴۰۵/۰۷/۱۱</v>
      </c>
      <c r="D289" s="346" t="n">
        <v>1</v>
      </c>
      <c r="E289" s="346" t="str">
        <v>رفع برخورد و حفظ محدودیت دو درس</v>
      </c>
      <c r="F289" s="346" t="str">
        <v>نظریه‌های روان‌درمانی پروچاسکا</v>
      </c>
      <c r="G289" s="346" t="str">
        <v>شکست/ضعف ← ضریب ← سررسید</v>
      </c>
      <c r="H289" s="346" t="str">
        <v>معتبر/انتقال نهایی</v>
      </c>
      <c r="I289" s="346"/>
      <c r="J289" s="346"/>
      <c r="K289" s="346"/>
      <c r="L289" s="346"/>
      <c r="M289" s="347"/>
    </row>
    <row r="290" ht="26" customHeight="1">
      <c r="A290" s="366" t="str">
        <v>U097</v>
      </c>
      <c r="B290" s="367" t="str">
        <v>۱۴۰۵/۰۶/۱۶</v>
      </c>
      <c r="C290" s="367" t="str">
        <v>۱۴۰۵/۰۶/۱۷</v>
      </c>
      <c r="D290" s="367" t="n">
        <v>1</v>
      </c>
      <c r="E290" s="367" t="str">
        <v>رفع برخورد و حفظ محدودیت دو درس</v>
      </c>
      <c r="F290" s="367" t="str">
        <v>نظریه‌های روان‌درمانی پروچاسکا</v>
      </c>
      <c r="G290" s="367" t="str">
        <v>شکست/ضعف ← ضریب ← سررسید</v>
      </c>
      <c r="H290" s="367" t="str">
        <v>معتبر/انتقال نهایی</v>
      </c>
      <c r="I290" s="367"/>
      <c r="J290" s="367"/>
      <c r="K290" s="367"/>
      <c r="L290" s="367"/>
      <c r="M290" s="368"/>
    </row>
    <row r="291" ht="26" customHeight="1">
      <c r="A291" s="345" t="str">
        <v>U097</v>
      </c>
      <c r="B291" s="346" t="str">
        <v>۱۴۰۵/۰۷/۱۲</v>
      </c>
      <c r="C291" s="346" t="str">
        <v>۱۴۰۵/۰۷/۱۳</v>
      </c>
      <c r="D291" s="346" t="n">
        <v>1</v>
      </c>
      <c r="E291" s="346" t="str">
        <v>رفع برخورد و حفظ محدودیت دو درس</v>
      </c>
      <c r="F291" s="346" t="str">
        <v>نظریه‌های روان‌درمانی پروچاسکا</v>
      </c>
      <c r="G291" s="346" t="str">
        <v>شکست/ضعف ← ضریب ← سررسید</v>
      </c>
      <c r="H291" s="346" t="str">
        <v>معتبر/انتقال نهایی</v>
      </c>
      <c r="I291" s="346"/>
      <c r="J291" s="346"/>
      <c r="K291" s="346"/>
      <c r="L291" s="346"/>
      <c r="M291" s="347"/>
    </row>
    <row r="292" ht="26" customHeight="1">
      <c r="A292" s="366" t="str">
        <v>U098</v>
      </c>
      <c r="B292" s="367" t="str">
        <v>۱۴۰۵/۰۷/۱۴</v>
      </c>
      <c r="C292" s="367" t="str">
        <v>۱۴۰۵/۰۷/۱۵</v>
      </c>
      <c r="D292" s="367" t="n">
        <v>1</v>
      </c>
      <c r="E292" s="367" t="str">
        <v>رفع برخورد و حفظ محدودیت دو درس</v>
      </c>
      <c r="F292" s="367" t="str">
        <v>نظریه‌های روان‌درمانی پروچاسکا</v>
      </c>
      <c r="G292" s="367" t="str">
        <v>شکست/ضعف ← ضریب ← سررسید</v>
      </c>
      <c r="H292" s="367" t="str">
        <v>معتبر/انتقال نهایی</v>
      </c>
      <c r="I292" s="367"/>
      <c r="J292" s="367"/>
      <c r="K292" s="367"/>
      <c r="L292" s="367"/>
      <c r="M292" s="368"/>
    </row>
    <row r="293" ht="26" customHeight="1">
      <c r="A293" s="345" t="str">
        <v>U099</v>
      </c>
      <c r="B293" s="346" t="str">
        <v>۱۴۰۵/۰۶/۲۱</v>
      </c>
      <c r="C293" s="346" t="str">
        <v>۱۴۰۵/۰۶/۲۲</v>
      </c>
      <c r="D293" s="346" t="n">
        <v>1</v>
      </c>
      <c r="E293" s="346" t="str">
        <v>رفع برخورد و حفظ محدودیت دو درس</v>
      </c>
      <c r="F293" s="346" t="str">
        <v>نظریه‌های روان‌درمانی پروچاسکا</v>
      </c>
      <c r="G293" s="346" t="str">
        <v>شکست/ضعف ← ضریب ← سررسید</v>
      </c>
      <c r="H293" s="346" t="str">
        <v>معتبر/انتقال نهایی</v>
      </c>
      <c r="I293" s="346"/>
      <c r="J293" s="346"/>
      <c r="K293" s="346"/>
      <c r="L293" s="346"/>
      <c r="M293" s="347"/>
    </row>
    <row r="294" ht="26" customHeight="1">
      <c r="A294" s="366" t="str">
        <v>U100</v>
      </c>
      <c r="B294" s="367" t="str">
        <v>۱۴۰۵/۰۶/۲۱</v>
      </c>
      <c r="C294" s="367" t="str">
        <v>۱۴۰۵/۰۶/۲۲</v>
      </c>
      <c r="D294" s="367" t="n">
        <v>1</v>
      </c>
      <c r="E294" s="367" t="str">
        <v>رفع برخورد و حفظ محدودیت دو درس</v>
      </c>
      <c r="F294" s="367" t="str">
        <v>نظریه‌های روان‌درمانی پروچاسکا</v>
      </c>
      <c r="G294" s="367" t="str">
        <v>شکست/ضعف ← ضریب ← سررسید</v>
      </c>
      <c r="H294" s="367" t="str">
        <v>معتبر/انتقال نهایی</v>
      </c>
      <c r="I294" s="367"/>
      <c r="J294" s="367"/>
      <c r="K294" s="367"/>
      <c r="L294" s="367"/>
      <c r="M294" s="368"/>
    </row>
    <row r="295" ht="26" customHeight="1">
      <c r="A295" s="345" t="str">
        <v>U101</v>
      </c>
      <c r="B295" s="346" t="str">
        <v>۱۴۰۵/۰۷/۰۲</v>
      </c>
      <c r="C295" s="346" t="str">
        <v>۱۴۰۵/۰۷/۰۱</v>
      </c>
      <c r="D295" s="346" t="n">
        <v>-1</v>
      </c>
      <c r="E295" s="346" t="str">
        <v>رفع برخورد و حفظ محدودیت دو درس</v>
      </c>
      <c r="F295" s="346" t="str">
        <v>نظریه‌های روان‌درمانی پروچاسکا</v>
      </c>
      <c r="G295" s="346" t="str">
        <v>شکست/ضعف ← ضریب ← سررسید</v>
      </c>
      <c r="H295" s="346" t="str">
        <v>معتبر/انتقال نهایی</v>
      </c>
      <c r="I295" s="346"/>
      <c r="J295" s="346"/>
      <c r="K295" s="346"/>
      <c r="L295" s="346"/>
      <c r="M295" s="347"/>
    </row>
    <row r="296" ht="26" customHeight="1">
      <c r="A296" s="366" t="str">
        <v>U101</v>
      </c>
      <c r="B296" s="367" t="str">
        <v>۱۴۰۵/۰۷/۱۶</v>
      </c>
      <c r="C296" s="367" t="str">
        <v>۱۴۰۵/۰۷/۱۵</v>
      </c>
      <c r="D296" s="367" t="n">
        <v>-1</v>
      </c>
      <c r="E296" s="367" t="str">
        <v>رفع برخورد و حفظ محدودیت دو درس</v>
      </c>
      <c r="F296" s="367" t="str">
        <v>نظریه‌های روان‌درمانی پروچاسکا</v>
      </c>
      <c r="G296" s="367" t="str">
        <v>شکست/ضعف ← ضریب ← سررسید</v>
      </c>
      <c r="H296" s="367" t="str">
        <v>معتبر/انتقال نهایی</v>
      </c>
      <c r="I296" s="367"/>
      <c r="J296" s="367"/>
      <c r="K296" s="367"/>
      <c r="L296" s="367"/>
      <c r="M296" s="368"/>
    </row>
    <row r="297" ht="26" customHeight="1">
      <c r="A297" s="345" t="str">
        <v>U102</v>
      </c>
      <c r="B297" s="346" t="str">
        <v>۱۴۰۵/۰۶/۲۱</v>
      </c>
      <c r="C297" s="346" t="str">
        <v>۱۴۰۵/۰۶/۲۲</v>
      </c>
      <c r="D297" s="346" t="n">
        <v>1</v>
      </c>
      <c r="E297" s="346" t="str">
        <v>رفع برخورد و حفظ محدودیت دو درس</v>
      </c>
      <c r="F297" s="346" t="str">
        <v>نظریه‌های روان‌درمانی پروچاسکا</v>
      </c>
      <c r="G297" s="346" t="str">
        <v>شکست/ضعف ← ضریب ← سررسید</v>
      </c>
      <c r="H297" s="346" t="str">
        <v>معتبر/انتقال نهایی</v>
      </c>
      <c r="I297" s="346"/>
      <c r="J297" s="346"/>
      <c r="K297" s="346"/>
      <c r="L297" s="346"/>
      <c r="M297" s="347"/>
    </row>
    <row r="298" ht="26" customHeight="1">
      <c r="A298" s="366" t="str">
        <v>U102</v>
      </c>
      <c r="B298" s="367" t="str">
        <v>۱۴۰۵/۰۶/۲۳</v>
      </c>
      <c r="C298" s="367" t="str">
        <v>۱۴۰۵/۰۶/۲۴</v>
      </c>
      <c r="D298" s="367" t="n">
        <v>1</v>
      </c>
      <c r="E298" s="367" t="str">
        <v>رفع برخورد و حفظ محدودیت دو درس</v>
      </c>
      <c r="F298" s="367" t="str">
        <v>نظریه‌های روان‌درمانی پروچاسکا</v>
      </c>
      <c r="G298" s="367" t="str">
        <v>شکست/ضعف ← ضریب ← سررسید</v>
      </c>
      <c r="H298" s="367" t="str">
        <v>معتبر/انتقال نهایی</v>
      </c>
      <c r="I298" s="367"/>
      <c r="J298" s="367"/>
      <c r="K298" s="367"/>
      <c r="L298" s="367"/>
      <c r="M298" s="368"/>
    </row>
    <row r="299" ht="26" customHeight="1">
      <c r="A299" s="345" t="str">
        <v>U102</v>
      </c>
      <c r="B299" s="346" t="str">
        <v>۱۴۰۵/۰۶/۲۷</v>
      </c>
      <c r="C299" s="346" t="str">
        <v>۱۴۰۵/۰۶/۲۸</v>
      </c>
      <c r="D299" s="346" t="n">
        <v>1</v>
      </c>
      <c r="E299" s="346" t="str">
        <v>رفع برخورد و حفظ محدودیت دو درس</v>
      </c>
      <c r="F299" s="346" t="str">
        <v>نظریه‌های روان‌درمانی پروچاسکا</v>
      </c>
      <c r="G299" s="346" t="str">
        <v>شکست/ضعف ← ضریب ← سررسید</v>
      </c>
      <c r="H299" s="346" t="str">
        <v>معتبر/انتقال نهایی</v>
      </c>
      <c r="I299" s="346"/>
      <c r="J299" s="346"/>
      <c r="K299" s="346"/>
      <c r="L299" s="346"/>
      <c r="M299" s="347"/>
    </row>
    <row r="300" ht="26" customHeight="1">
      <c r="A300" s="366" t="str">
        <v>U102</v>
      </c>
      <c r="B300" s="367" t="str">
        <v>۱۴۰۵/۰۷/۰۳</v>
      </c>
      <c r="C300" s="367" t="str">
        <v>۱۴۰۵/۰۷/۰۴</v>
      </c>
      <c r="D300" s="367" t="n">
        <v>1</v>
      </c>
      <c r="E300" s="367" t="str">
        <v>رفع برخورد و حفظ محدودیت دو درس</v>
      </c>
      <c r="F300" s="367" t="str">
        <v>نظریه‌های روان‌درمانی پروچاسکا</v>
      </c>
      <c r="G300" s="367" t="str">
        <v>شکست/ضعف ← ضریب ← سررسید</v>
      </c>
      <c r="H300" s="367" t="str">
        <v>معتبر/انتقال نهایی</v>
      </c>
      <c r="I300" s="367"/>
      <c r="J300" s="367"/>
      <c r="K300" s="367"/>
      <c r="L300" s="367"/>
      <c r="M300" s="368"/>
    </row>
    <row r="301" ht="26" customHeight="1">
      <c r="A301" s="345" t="str">
        <v>U102</v>
      </c>
      <c r="B301" s="346" t="str">
        <v>۱۴۰۵/۰۷/۱۷</v>
      </c>
      <c r="C301" s="346" t="str">
        <v>۱۴۰۵/۰۷/۱۸</v>
      </c>
      <c r="D301" s="346" t="n">
        <v>1</v>
      </c>
      <c r="E301" s="346" t="str">
        <v>رفع برخورد و حفظ محدودیت دو درس</v>
      </c>
      <c r="F301" s="346" t="str">
        <v>نظریه‌های روان‌درمانی پروچاسکا</v>
      </c>
      <c r="G301" s="346" t="str">
        <v>شکست/ضعف ← ضریب ← سررسید</v>
      </c>
      <c r="H301" s="346" t="str">
        <v>معتبر/انتقال نهایی</v>
      </c>
      <c r="I301" s="346"/>
      <c r="J301" s="346"/>
      <c r="K301" s="346"/>
      <c r="L301" s="346"/>
      <c r="M301" s="347"/>
    </row>
    <row r="302" ht="26" customHeight="1">
      <c r="A302" s="366" t="str">
        <v>U103</v>
      </c>
      <c r="B302" s="367" t="str">
        <v>۱۴۰۵/۰۶/۲۳</v>
      </c>
      <c r="C302" s="367" t="str">
        <v>۱۴۰۵/۰۶/۲۴</v>
      </c>
      <c r="D302" s="367" t="n">
        <v>1</v>
      </c>
      <c r="E302" s="367" t="str">
        <v>رفع برخورد و حفظ محدودیت دو درس</v>
      </c>
      <c r="F302" s="367" t="str">
        <v>نظریه‌های روان‌درمانی پروچاسکا</v>
      </c>
      <c r="G302" s="367" t="str">
        <v>شکست/ضعف ← ضریب ← سررسید</v>
      </c>
      <c r="H302" s="367" t="str">
        <v>معتبر/انتقال نهایی</v>
      </c>
      <c r="I302" s="367"/>
      <c r="J302" s="367"/>
      <c r="K302" s="367"/>
      <c r="L302" s="367"/>
      <c r="M302" s="368"/>
    </row>
    <row r="303" ht="26" customHeight="1">
      <c r="A303" s="345" t="str">
        <v>U103</v>
      </c>
      <c r="B303" s="346" t="str">
        <v>۱۴۰۵/۰۷/۰۵</v>
      </c>
      <c r="C303" s="346" t="str">
        <v>۱۴۰۵/۰۷/۰۶</v>
      </c>
      <c r="D303" s="346" t="n">
        <v>1</v>
      </c>
      <c r="E303" s="346" t="str">
        <v>رفع برخورد و حفظ محدودیت دو درس</v>
      </c>
      <c r="F303" s="346" t="str">
        <v>نظریه‌های روان‌درمانی پروچاسکا</v>
      </c>
      <c r="G303" s="346" t="str">
        <v>شکست/ضعف ← ضریب ← سررسید</v>
      </c>
      <c r="H303" s="346" t="str">
        <v>معتبر/انتقال نهایی</v>
      </c>
      <c r="I303" s="346"/>
      <c r="J303" s="346"/>
      <c r="K303" s="346"/>
      <c r="L303" s="346"/>
      <c r="M303" s="347"/>
    </row>
    <row r="304" ht="26" customHeight="1">
      <c r="A304" s="366" t="str">
        <v>U103</v>
      </c>
      <c r="B304" s="367" t="str">
        <v>۱۴۰۵/۰۷/۱۹</v>
      </c>
      <c r="C304" s="367" t="str">
        <v>۱۴۰۵/۰۷/۲۰</v>
      </c>
      <c r="D304" s="367" t="n">
        <v>1</v>
      </c>
      <c r="E304" s="367" t="str">
        <v>رفع برخورد و حفظ محدودیت دو درس</v>
      </c>
      <c r="F304" s="367" t="str">
        <v>نظریه‌های روان‌درمانی پروچاسکا</v>
      </c>
      <c r="G304" s="367" t="str">
        <v>شکست/ضعف ← ضریب ← سررسید</v>
      </c>
      <c r="H304" s="367" t="str">
        <v>معتبر/انتقال نهایی</v>
      </c>
      <c r="I304" s="367"/>
      <c r="J304" s="367"/>
      <c r="K304" s="367"/>
      <c r="L304" s="367"/>
      <c r="M304" s="368"/>
    </row>
    <row r="305" ht="26" customHeight="1">
      <c r="A305" s="345" t="str">
        <v>U104</v>
      </c>
      <c r="B305" s="346" t="str">
        <v>۱۴۰۵/۰۶/۲۳</v>
      </c>
      <c r="C305" s="346" t="str">
        <v>۱۴۰۵/۰۶/۲۴</v>
      </c>
      <c r="D305" s="346" t="n">
        <v>1</v>
      </c>
      <c r="E305" s="346" t="str">
        <v>رفع برخورد و حفظ محدودیت دو درس</v>
      </c>
      <c r="F305" s="346" t="str">
        <v>نظریه‌های روان‌درمانی پروچاسکا</v>
      </c>
      <c r="G305" s="346" t="str">
        <v>شکست/ضعف ← ضریب ← سررسید</v>
      </c>
      <c r="H305" s="346" t="str">
        <v>معتبر/انتقال نهایی</v>
      </c>
      <c r="I305" s="346"/>
      <c r="J305" s="346"/>
      <c r="K305" s="346"/>
      <c r="L305" s="346"/>
      <c r="M305" s="347"/>
    </row>
    <row r="306" ht="26" customHeight="1">
      <c r="A306" s="366" t="str">
        <v>U104</v>
      </c>
      <c r="B306" s="367" t="str">
        <v>۱۴۰۵/۰۷/۰۵</v>
      </c>
      <c r="C306" s="367" t="str">
        <v>۱۴۰۵/۰۷/۰۶</v>
      </c>
      <c r="D306" s="367" t="n">
        <v>1</v>
      </c>
      <c r="E306" s="367" t="str">
        <v>رفع برخورد و حفظ محدودیت دو درس</v>
      </c>
      <c r="F306" s="367" t="str">
        <v>نظریه‌های روان‌درمانی پروچاسکا</v>
      </c>
      <c r="G306" s="367" t="str">
        <v>شکست/ضعف ← ضریب ← سررسید</v>
      </c>
      <c r="H306" s="367" t="str">
        <v>معتبر/انتقال نهایی</v>
      </c>
      <c r="I306" s="367"/>
      <c r="J306" s="367"/>
      <c r="K306" s="367"/>
      <c r="L306" s="367"/>
      <c r="M306" s="368"/>
    </row>
    <row r="307" ht="26" customHeight="1">
      <c r="A307" s="345" t="str">
        <v>U104</v>
      </c>
      <c r="B307" s="346" t="str">
        <v>۱۴۰۵/۰۷/۱۹</v>
      </c>
      <c r="C307" s="346" t="str">
        <v>۱۴۰۵/۰۷/۲۰</v>
      </c>
      <c r="D307" s="346" t="n">
        <v>1</v>
      </c>
      <c r="E307" s="346" t="str">
        <v>رفع برخورد و حفظ محدودیت دو درس</v>
      </c>
      <c r="F307" s="346" t="str">
        <v>نظریه‌های روان‌درمانی پروچاسکا</v>
      </c>
      <c r="G307" s="346" t="str">
        <v>شکست/ضعف ← ضریب ← سررسید</v>
      </c>
      <c r="H307" s="346" t="str">
        <v>معتبر/انتقال نهایی</v>
      </c>
      <c r="I307" s="346"/>
      <c r="J307" s="346"/>
      <c r="K307" s="346"/>
      <c r="L307" s="346"/>
      <c r="M307" s="347"/>
    </row>
    <row r="308" ht="26" customHeight="1">
      <c r="A308" s="366" t="str">
        <v>U105</v>
      </c>
      <c r="B308" s="367" t="str">
        <v>۱۴۰۵/۰۶/۲۷</v>
      </c>
      <c r="C308" s="367" t="str">
        <v>۱۴۰۵/۰۶/۲۸</v>
      </c>
      <c r="D308" s="367" t="n">
        <v>1</v>
      </c>
      <c r="E308" s="367" t="str">
        <v>رفع برخورد و حفظ محدودیت دو درس</v>
      </c>
      <c r="F308" s="367" t="str">
        <v>نظریه‌های روان‌درمانی پروچاسکا</v>
      </c>
      <c r="G308" s="367" t="str">
        <v>شکست/ضعف ← ضریب ← سررسید</v>
      </c>
      <c r="H308" s="367" t="str">
        <v>معتبر/انتقال نهایی</v>
      </c>
      <c r="I308" s="367"/>
      <c r="J308" s="367"/>
      <c r="K308" s="367"/>
      <c r="L308" s="367"/>
      <c r="M308" s="368"/>
    </row>
    <row r="309" ht="26" customHeight="1">
      <c r="A309" s="345" t="str">
        <v>U105</v>
      </c>
      <c r="B309" s="346" t="str">
        <v>۱۴۰۵/۰۷/۰۷</v>
      </c>
      <c r="C309" s="346" t="str">
        <v>۱۴۰۵/۰۷/۰۸</v>
      </c>
      <c r="D309" s="346" t="n">
        <v>1</v>
      </c>
      <c r="E309" s="346" t="str">
        <v>رفع برخورد و حفظ محدودیت دو درس</v>
      </c>
      <c r="F309" s="346" t="str">
        <v>نظریه‌های روان‌درمانی پروچاسکا</v>
      </c>
      <c r="G309" s="346" t="str">
        <v>شکست/ضعف ← ضریب ← سررسید</v>
      </c>
      <c r="H309" s="346" t="str">
        <v>معتبر/انتقال نهایی</v>
      </c>
      <c r="I309" s="346"/>
      <c r="J309" s="346"/>
      <c r="K309" s="346"/>
      <c r="L309" s="346"/>
      <c r="M309" s="347"/>
    </row>
    <row r="310" ht="26" customHeight="1">
      <c r="A310" s="366" t="str">
        <v>U105</v>
      </c>
      <c r="B310" s="367" t="str">
        <v>۱۴۰۵/۰۷/۲۱</v>
      </c>
      <c r="C310" s="367" t="str">
        <v>۱۴۰۵/۰۷/۲۲</v>
      </c>
      <c r="D310" s="367" t="n">
        <v>1</v>
      </c>
      <c r="E310" s="367" t="str">
        <v>رفع برخورد و حفظ محدودیت دو درس</v>
      </c>
      <c r="F310" s="367" t="str">
        <v>نظریه‌های روان‌درمانی پروچاسکا</v>
      </c>
      <c r="G310" s="367" t="str">
        <v>شکست/ضعف ← ضریب ← سررسید</v>
      </c>
      <c r="H310" s="367" t="str">
        <v>معتبر/انتقال نهایی</v>
      </c>
      <c r="I310" s="367"/>
      <c r="J310" s="367"/>
      <c r="K310" s="367"/>
      <c r="L310" s="367"/>
      <c r="M310" s="368"/>
    </row>
    <row r="311" ht="26" customHeight="1">
      <c r="A311" s="345" t="str">
        <v>U107</v>
      </c>
      <c r="B311" s="346" t="str">
        <v>۱۴۰۵/۰۶/۲۷</v>
      </c>
      <c r="C311" s="346" t="str">
        <v>۱۴۰۵/۰۶/۲۸</v>
      </c>
      <c r="D311" s="346" t="n">
        <v>1</v>
      </c>
      <c r="E311" s="346" t="str">
        <v>رفع برخورد و حفظ محدودیت دو درس</v>
      </c>
      <c r="F311" s="346" t="str">
        <v>نظریه‌های روان‌درمانی پروچاسکا</v>
      </c>
      <c r="G311" s="346" t="str">
        <v>شکست/ضعف ← ضریب ← سررسید</v>
      </c>
      <c r="H311" s="346" t="str">
        <v>معتبر/انتقال نهایی</v>
      </c>
      <c r="I311" s="346"/>
      <c r="J311" s="346"/>
      <c r="K311" s="346"/>
      <c r="L311" s="346"/>
      <c r="M311" s="347"/>
    </row>
    <row r="312" ht="26" customHeight="1">
      <c r="A312" s="366" t="str">
        <v>U107</v>
      </c>
      <c r="B312" s="367" t="str">
        <v>۱۴۰۵/۰۷/۰۲</v>
      </c>
      <c r="C312" s="367" t="str">
        <v>۱۴۰۵/۰۷/۰۱</v>
      </c>
      <c r="D312" s="367" t="n">
        <v>-1</v>
      </c>
      <c r="E312" s="367" t="str">
        <v>رفع برخورد و حفظ محدودیت دو درس</v>
      </c>
      <c r="F312" s="367" t="str">
        <v>نظریه‌های روان‌درمانی پروچاسکا</v>
      </c>
      <c r="G312" s="367" t="str">
        <v>شکست/ضعف ← ضریب ← سررسید</v>
      </c>
      <c r="H312" s="367" t="str">
        <v>معتبر/انتقال نهایی</v>
      </c>
      <c r="I312" s="367"/>
      <c r="J312" s="367"/>
      <c r="K312" s="367"/>
      <c r="L312" s="367"/>
      <c r="M312" s="368"/>
    </row>
    <row r="313" ht="26" customHeight="1">
      <c r="A313" s="345" t="str">
        <v>U107</v>
      </c>
      <c r="B313" s="346" t="str">
        <v>۱۴۰۵/۰۷/۰۹</v>
      </c>
      <c r="C313" s="346" t="str">
        <v>۱۴۰۵/۰۷/۰۸</v>
      </c>
      <c r="D313" s="346" t="n">
        <v>-1</v>
      </c>
      <c r="E313" s="346" t="str">
        <v>رفع برخورد و حفظ محدودیت دو درس</v>
      </c>
      <c r="F313" s="346" t="str">
        <v>نظریه‌های روان‌درمانی پروچاسکا</v>
      </c>
      <c r="G313" s="346" t="str">
        <v>شکست/ضعف ← ضریب ← سررسید</v>
      </c>
      <c r="H313" s="346" t="str">
        <v>معتبر/انتقال نهایی</v>
      </c>
      <c r="I313" s="346"/>
      <c r="J313" s="346"/>
      <c r="K313" s="346"/>
      <c r="L313" s="346"/>
      <c r="M313" s="347"/>
    </row>
    <row r="314" ht="26" customHeight="1">
      <c r="A314" s="366" t="str">
        <v>U108</v>
      </c>
      <c r="B314" s="367" t="str">
        <v>۱۴۰۵/۰۶/۲۷</v>
      </c>
      <c r="C314" s="367" t="str">
        <v>۱۴۰۵/۰۶/۲۸</v>
      </c>
      <c r="D314" s="367" t="n">
        <v>1</v>
      </c>
      <c r="E314" s="367" t="str">
        <v>رفع برخورد و حفظ محدودیت دو درس</v>
      </c>
      <c r="F314" s="367" t="str">
        <v>نظریه‌های روان‌درمانی پروچاسکا</v>
      </c>
      <c r="G314" s="367" t="str">
        <v>شکست/ضعف ← ضریب ← سررسید</v>
      </c>
      <c r="H314" s="367" t="str">
        <v>معتبر/انتقال نهایی</v>
      </c>
      <c r="I314" s="367"/>
      <c r="J314" s="367"/>
      <c r="K314" s="367"/>
      <c r="L314" s="367"/>
      <c r="M314" s="368"/>
    </row>
    <row r="315" ht="26" customHeight="1">
      <c r="A315" s="345" t="str">
        <v>U108</v>
      </c>
      <c r="B315" s="346" t="str">
        <v>۱۴۰۵/۰۷/۰۲</v>
      </c>
      <c r="C315" s="346" t="str">
        <v>۱۴۰۵/۰۷/۰۱</v>
      </c>
      <c r="D315" s="346" t="n">
        <v>-1</v>
      </c>
      <c r="E315" s="346" t="str">
        <v>رفع برخورد و حفظ محدودیت دو درس</v>
      </c>
      <c r="F315" s="346" t="str">
        <v>نظریه‌های روان‌درمانی پروچاسکا</v>
      </c>
      <c r="G315" s="346" t="str">
        <v>شکست/ضعف ← ضریب ← سررسید</v>
      </c>
      <c r="H315" s="346" t="str">
        <v>معتبر/انتقال نهایی</v>
      </c>
      <c r="I315" s="346"/>
      <c r="J315" s="346"/>
      <c r="K315" s="346"/>
      <c r="L315" s="346"/>
      <c r="M315" s="347"/>
    </row>
    <row r="316" ht="26" customHeight="1">
      <c r="A316" s="366" t="str">
        <v>U108</v>
      </c>
      <c r="B316" s="367" t="str">
        <v>۱۴۰۵/۰۷/۰۹</v>
      </c>
      <c r="C316" s="367" t="str">
        <v>۱۴۰۵/۰۷/۰۸</v>
      </c>
      <c r="D316" s="367" t="n">
        <v>-1</v>
      </c>
      <c r="E316" s="367" t="str">
        <v>رفع برخورد و حفظ محدودیت دو درس</v>
      </c>
      <c r="F316" s="367" t="str">
        <v>نظریه‌های روان‌درمانی پروچاسکا</v>
      </c>
      <c r="G316" s="367" t="str">
        <v>شکست/ضعف ← ضریب ← سررسید</v>
      </c>
      <c r="H316" s="367" t="str">
        <v>معتبر/انتقال نهایی</v>
      </c>
      <c r="I316" s="367"/>
      <c r="J316" s="367"/>
      <c r="K316" s="367"/>
      <c r="L316" s="367"/>
      <c r="M316" s="368"/>
    </row>
    <row r="317" ht="26" customHeight="1">
      <c r="A317" s="345" t="str">
        <v>U110</v>
      </c>
      <c r="B317" s="346" t="str">
        <v>۱۴۰۵/۰۶/۳۰</v>
      </c>
      <c r="C317" s="346" t="str">
        <v>۱۴۰۵/۰۶/۳۱</v>
      </c>
      <c r="D317" s="346" t="n">
        <v>1</v>
      </c>
      <c r="E317" s="346" t="str">
        <v>رفع برخورد و حفظ محدودیت دو درس</v>
      </c>
      <c r="F317" s="346" t="str">
        <v>نظریه‌های روان‌درمانی پروچاسکا</v>
      </c>
      <c r="G317" s="346" t="str">
        <v>شکست/ضعف ← ضریب ← سررسید</v>
      </c>
      <c r="H317" s="346" t="str">
        <v>معتبر/انتقال نهایی</v>
      </c>
      <c r="I317" s="346"/>
      <c r="J317" s="346"/>
      <c r="K317" s="346"/>
      <c r="L317" s="346"/>
      <c r="M317" s="347"/>
    </row>
    <row r="318" ht="26" customHeight="1">
      <c r="A318" s="366" t="str">
        <v>U110</v>
      </c>
      <c r="B318" s="367" t="str">
        <v>۱۴۰۵/۰۷/۰۵</v>
      </c>
      <c r="C318" s="367" t="str">
        <v>۱۴۰۵/۰۷/۰۶</v>
      </c>
      <c r="D318" s="367" t="n">
        <v>1</v>
      </c>
      <c r="E318" s="367" t="str">
        <v>رفع برخورد و حفظ محدودیت دو درس</v>
      </c>
      <c r="F318" s="367" t="str">
        <v>نظریه‌های روان‌درمانی پروچاسکا</v>
      </c>
      <c r="G318" s="367" t="str">
        <v>شکست/ضعف ← ضریب ← سررسید</v>
      </c>
      <c r="H318" s="367" t="str">
        <v>معتبر/انتقال نهایی</v>
      </c>
      <c r="I318" s="367"/>
      <c r="J318" s="367"/>
      <c r="K318" s="367"/>
      <c r="L318" s="367"/>
      <c r="M318" s="368"/>
    </row>
    <row r="319" ht="26" customHeight="1">
      <c r="A319" s="345" t="str">
        <v>U110</v>
      </c>
      <c r="B319" s="346" t="str">
        <v>۱۴۰۵/۰۷/۱۲</v>
      </c>
      <c r="C319" s="346" t="str">
        <v>۱۴۰۵/۰۷/۱۳</v>
      </c>
      <c r="D319" s="346" t="n">
        <v>1</v>
      </c>
      <c r="E319" s="346" t="str">
        <v>رفع برخورد و حفظ محدودیت دو درس</v>
      </c>
      <c r="F319" s="346" t="str">
        <v>نظریه‌های روان‌درمانی پروچاسکا</v>
      </c>
      <c r="G319" s="346" t="str">
        <v>شکست/ضعف ← ضریب ← سررسید</v>
      </c>
      <c r="H319" s="346" t="str">
        <v>معتبر/انتقال نهایی</v>
      </c>
      <c r="I319" s="346"/>
      <c r="J319" s="346"/>
      <c r="K319" s="346"/>
      <c r="L319" s="346"/>
      <c r="M319" s="347"/>
    </row>
    <row r="320" ht="26" customHeight="1">
      <c r="A320" s="366" t="str">
        <v>U110</v>
      </c>
      <c r="B320" s="367" t="str">
        <v>۱۴۰۵/۰۷/۲۶</v>
      </c>
      <c r="C320" s="367" t="str">
        <v>۱۴۰۵/۰۷/۲۷</v>
      </c>
      <c r="D320" s="367" t="n">
        <v>1</v>
      </c>
      <c r="E320" s="367" t="str">
        <v>رفع برخورد و حفظ محدودیت دو درس</v>
      </c>
      <c r="F320" s="367" t="str">
        <v>نظریه‌های روان‌درمانی پروچاسکا</v>
      </c>
      <c r="G320" s="367" t="str">
        <v>شکست/ضعف ← ضریب ← سررسید</v>
      </c>
      <c r="H320" s="367" t="str">
        <v>معتبر/انتقال نهایی</v>
      </c>
      <c r="I320" s="367"/>
      <c r="J320" s="367"/>
      <c r="K320" s="367"/>
      <c r="L320" s="367"/>
      <c r="M320" s="368"/>
    </row>
    <row r="321" ht="26" customHeight="1">
      <c r="A321" s="345" t="str">
        <v>U111</v>
      </c>
      <c r="B321" s="346" t="str">
        <v>۱۴۰۵/۰۷/۰۳</v>
      </c>
      <c r="C321" s="346" t="str">
        <v>۱۴۰۵/۰۷/۰۴</v>
      </c>
      <c r="D321" s="346" t="n">
        <v>1</v>
      </c>
      <c r="E321" s="346" t="str">
        <v>رفع برخورد و حفظ محدودیت دو درس</v>
      </c>
      <c r="F321" s="346" t="str">
        <v>نظریه‌های روان‌درمانی پروچاسکا</v>
      </c>
      <c r="G321" s="346" t="str">
        <v>شکست/ضعف ← ضریب ← سررسید</v>
      </c>
      <c r="H321" s="346" t="str">
        <v>معتبر/انتقال نهایی</v>
      </c>
      <c r="I321" s="346"/>
      <c r="J321" s="346"/>
      <c r="K321" s="346"/>
      <c r="L321" s="346"/>
      <c r="M321" s="347"/>
    </row>
    <row r="322" ht="26" customHeight="1">
      <c r="A322" s="366" t="str">
        <v>U111</v>
      </c>
      <c r="B322" s="367" t="str">
        <v>۱۴۰۵/۰۷/۰۷</v>
      </c>
      <c r="C322" s="367" t="str">
        <v>۱۴۰۵/۰۷/۰۸</v>
      </c>
      <c r="D322" s="367" t="n">
        <v>1</v>
      </c>
      <c r="E322" s="367" t="str">
        <v>رفع برخورد و حفظ محدودیت دو درس</v>
      </c>
      <c r="F322" s="367" t="str">
        <v>نظریه‌های روان‌درمانی پروچاسکا</v>
      </c>
      <c r="G322" s="367" t="str">
        <v>شکست/ضعف ← ضریب ← سررسید</v>
      </c>
      <c r="H322" s="367" t="str">
        <v>معتبر/انتقال نهایی</v>
      </c>
      <c r="I322" s="367"/>
      <c r="J322" s="367"/>
      <c r="K322" s="367"/>
      <c r="L322" s="367"/>
      <c r="M322" s="368"/>
    </row>
    <row r="323" ht="26" customHeight="1">
      <c r="A323" s="345" t="str">
        <v>U111</v>
      </c>
      <c r="B323" s="346" t="str">
        <v>۱۴۰۵/۰۷/۱۴</v>
      </c>
      <c r="C323" s="346" t="str">
        <v>۱۴۰۵/۰۷/۱۵</v>
      </c>
      <c r="D323" s="346" t="n">
        <v>1</v>
      </c>
      <c r="E323" s="346" t="str">
        <v>رفع برخورد و حفظ محدودیت دو درس</v>
      </c>
      <c r="F323" s="346" t="str">
        <v>نظریه‌های روان‌درمانی پروچاسکا</v>
      </c>
      <c r="G323" s="346" t="str">
        <v>شکست/ضعف ← ضریب ← سررسید</v>
      </c>
      <c r="H323" s="346" t="str">
        <v>معتبر/انتقال نهایی</v>
      </c>
      <c r="I323" s="346"/>
      <c r="J323" s="346"/>
      <c r="K323" s="346"/>
      <c r="L323" s="346"/>
      <c r="M323" s="347"/>
    </row>
    <row r="324" ht="26" customHeight="1">
      <c r="A324" s="366" t="str">
        <v>U112</v>
      </c>
      <c r="B324" s="367" t="str">
        <v>۱۴۰۵/۰۷/۰۲</v>
      </c>
      <c r="C324" s="367" t="str">
        <v>۱۴۰۵/۰۷/۰۱</v>
      </c>
      <c r="D324" s="367" t="n">
        <v>-1</v>
      </c>
      <c r="E324" s="367" t="str">
        <v>رفع برخورد و حفظ محدودیت دو درس</v>
      </c>
      <c r="F324" s="367" t="str">
        <v>نظریه‌های روان‌درمانی پروچاسکا</v>
      </c>
      <c r="G324" s="367" t="str">
        <v>شکست/ضعف ← ضریب ← سررسید</v>
      </c>
      <c r="H324" s="367" t="str">
        <v>معتبر/انتقال نهایی</v>
      </c>
      <c r="I324" s="367"/>
      <c r="J324" s="367"/>
      <c r="K324" s="367"/>
      <c r="L324" s="367"/>
      <c r="M324" s="368"/>
    </row>
    <row r="325" ht="26" customHeight="1">
      <c r="A325" s="345" t="str">
        <v>U112</v>
      </c>
      <c r="B325" s="346" t="str">
        <v>۱۴۰۵/۰۷/۲۹</v>
      </c>
      <c r="C325" s="346" t="str">
        <v>۱۴۰۵/۰۷/۳۰</v>
      </c>
      <c r="D325" s="346" t="n">
        <v>1</v>
      </c>
      <c r="E325" s="346" t="str">
        <v>رفع برخورد و حفظ محدودیت دو درس</v>
      </c>
      <c r="F325" s="346" t="str">
        <v>نظریه‌های روان‌درمانی پروچاسکا</v>
      </c>
      <c r="G325" s="346" t="str">
        <v>شکست/ضعف ← ضریب ← سررسید</v>
      </c>
      <c r="H325" s="346" t="str">
        <v>معتبر/انتقال نهایی</v>
      </c>
      <c r="I325" s="346"/>
      <c r="J325" s="346"/>
      <c r="K325" s="346"/>
      <c r="L325" s="346"/>
      <c r="M325" s="347"/>
    </row>
    <row r="326" ht="26" customHeight="1">
      <c r="A326" s="366" t="str">
        <v>U113</v>
      </c>
      <c r="B326" s="367" t="str">
        <v>۱۴۰۵/۰۷/۰۲</v>
      </c>
      <c r="C326" s="367" t="str">
        <v>۱۴۰۵/۰۷/۰۱</v>
      </c>
      <c r="D326" s="367" t="n">
        <v>-1</v>
      </c>
      <c r="E326" s="367" t="str">
        <v>رفع برخورد و حفظ محدودیت دو درس</v>
      </c>
      <c r="F326" s="367" t="str">
        <v>نظریه‌های روان‌درمانی پروچاسکا</v>
      </c>
      <c r="G326" s="367" t="str">
        <v>شکست/ضعف ← ضریب ← سررسید</v>
      </c>
      <c r="H326" s="367" t="str">
        <v>معتبر/انتقال نهایی</v>
      </c>
      <c r="I326" s="367"/>
      <c r="J326" s="367"/>
      <c r="K326" s="367"/>
      <c r="L326" s="367"/>
      <c r="M326" s="368"/>
    </row>
    <row r="327" ht="26" customHeight="1">
      <c r="A327" s="345" t="str">
        <v>U113</v>
      </c>
      <c r="B327" s="346" t="str">
        <v>۱۴۰۵/۰۷/۲۹</v>
      </c>
      <c r="C327" s="346" t="str">
        <v>۱۴۰۵/۰۷/۳۰</v>
      </c>
      <c r="D327" s="346" t="n">
        <v>1</v>
      </c>
      <c r="E327" s="346" t="str">
        <v>رفع برخورد و حفظ محدودیت دو درس</v>
      </c>
      <c r="F327" s="346" t="str">
        <v>نظریه‌های روان‌درمانی پروچاسکا</v>
      </c>
      <c r="G327" s="346" t="str">
        <v>شکست/ضعف ← ضریب ← سررسید</v>
      </c>
      <c r="H327" s="346" t="str">
        <v>معتبر/انتقال نهایی</v>
      </c>
      <c r="I327" s="346"/>
      <c r="J327" s="346"/>
      <c r="K327" s="346"/>
      <c r="L327" s="346"/>
      <c r="M327" s="347"/>
    </row>
    <row r="328" ht="26" customHeight="1">
      <c r="A328" s="366" t="str">
        <v>U114</v>
      </c>
      <c r="B328" s="367" t="str">
        <v>۱۴۰۵/۰۷/۰۵</v>
      </c>
      <c r="C328" s="367" t="str">
        <v>۱۴۰۵/۰۷/۰۶</v>
      </c>
      <c r="D328" s="367" t="n">
        <v>1</v>
      </c>
      <c r="E328" s="367" t="str">
        <v>رفع برخورد و حفظ محدودیت دو درس</v>
      </c>
      <c r="F328" s="367" t="str">
        <v>نظریه‌های روان‌درمانی پروچاسکا</v>
      </c>
      <c r="G328" s="367" t="str">
        <v>شکست/ضعف ← ضریب ← سررسید</v>
      </c>
      <c r="H328" s="367" t="str">
        <v>معتبر/انتقال نهایی</v>
      </c>
      <c r="I328" s="367"/>
      <c r="J328" s="367"/>
      <c r="K328" s="367"/>
      <c r="L328" s="367"/>
      <c r="M328" s="368"/>
    </row>
    <row r="329" ht="26" customHeight="1">
      <c r="A329" s="345" t="str">
        <v>U114</v>
      </c>
      <c r="B329" s="346" t="str">
        <v>۱۴۰۵/۰۷/۰۷</v>
      </c>
      <c r="C329" s="346" t="str">
        <v>۱۴۰۵/۰۷/۰۸</v>
      </c>
      <c r="D329" s="346" t="n">
        <v>1</v>
      </c>
      <c r="E329" s="346" t="str">
        <v>رفع برخورد و حفظ محدودیت دو درس</v>
      </c>
      <c r="F329" s="346" t="str">
        <v>نظریه‌های روان‌درمانی پروچاسکا</v>
      </c>
      <c r="G329" s="346" t="str">
        <v>شکست/ضعف ← ضریب ← سررسید</v>
      </c>
      <c r="H329" s="346" t="str">
        <v>معتبر/انتقال نهایی</v>
      </c>
      <c r="I329" s="346"/>
      <c r="J329" s="346"/>
      <c r="K329" s="346"/>
      <c r="L329" s="346"/>
      <c r="M329" s="347"/>
    </row>
    <row r="330" ht="26" customHeight="1">
      <c r="A330" s="366" t="str">
        <v>U114</v>
      </c>
      <c r="B330" s="367" t="str">
        <v>پس از مهلت</v>
      </c>
      <c r="C330" s="367" t="str">
        <v>۱۴۰۵/۰۷/۳۰</v>
      </c>
      <c r="D330" s="367" t="n">
        <v>-2</v>
      </c>
      <c r="E330" s="367" t="str">
        <v>انتقال به تثبیت نهایی؛ تاریخ پایه پس از مهلت</v>
      </c>
      <c r="F330" s="367" t="str">
        <v>نظریه‌های روان‌درمانی پروچاسکا</v>
      </c>
      <c r="G330" s="367" t="str">
        <v>شکست/ضعف ← ضریب ← سررسید</v>
      </c>
      <c r="H330" s="367" t="str">
        <v>معتبر/انتقال نهایی</v>
      </c>
      <c r="I330" s="367"/>
      <c r="J330" s="367"/>
      <c r="K330" s="367"/>
      <c r="L330" s="367"/>
      <c r="M330" s="368"/>
    </row>
    <row r="331" ht="26" customHeight="1">
      <c r="A331" s="345" t="str">
        <v>U115</v>
      </c>
      <c r="B331" s="346" t="str">
        <v>۱۴۰۵/۰۷/۰۵</v>
      </c>
      <c r="C331" s="346" t="str">
        <v>۱۴۰۵/۰۷/۰۶</v>
      </c>
      <c r="D331" s="346" t="n">
        <v>1</v>
      </c>
      <c r="E331" s="346" t="str">
        <v>رفع برخورد و حفظ محدودیت دو درس</v>
      </c>
      <c r="F331" s="346" t="str">
        <v>نظریه‌های روان‌درمانی پروچاسکا</v>
      </c>
      <c r="G331" s="346" t="str">
        <v>شکست/ضعف ← ضریب ← سررسید</v>
      </c>
      <c r="H331" s="346" t="str">
        <v>معتبر/انتقال نهایی</v>
      </c>
      <c r="I331" s="346"/>
      <c r="J331" s="346"/>
      <c r="K331" s="346"/>
      <c r="L331" s="346"/>
      <c r="M331" s="347"/>
    </row>
    <row r="332" ht="26" customHeight="1">
      <c r="A332" s="366" t="str">
        <v>U115</v>
      </c>
      <c r="B332" s="367" t="str">
        <v>۱۴۰۵/۰۷/۰۷</v>
      </c>
      <c r="C332" s="367" t="str">
        <v>۱۴۰۵/۰۷/۰۸</v>
      </c>
      <c r="D332" s="367" t="n">
        <v>1</v>
      </c>
      <c r="E332" s="367" t="str">
        <v>رفع برخورد و حفظ محدودیت دو درس</v>
      </c>
      <c r="F332" s="367" t="str">
        <v>نظریه‌های روان‌درمانی پروچاسکا</v>
      </c>
      <c r="G332" s="367" t="str">
        <v>شکست/ضعف ← ضریب ← سررسید</v>
      </c>
      <c r="H332" s="367" t="str">
        <v>معتبر/انتقال نهایی</v>
      </c>
      <c r="I332" s="367"/>
      <c r="J332" s="367"/>
      <c r="K332" s="367"/>
      <c r="L332" s="367"/>
      <c r="M332" s="368"/>
    </row>
    <row r="333" ht="26" customHeight="1">
      <c r="A333" s="345" t="str">
        <v>U115</v>
      </c>
      <c r="B333" s="346" t="str">
        <v>پس از مهلت</v>
      </c>
      <c r="C333" s="346" t="str">
        <v>۱۴۰۵/۰۷/۳۰</v>
      </c>
      <c r="D333" s="346" t="n">
        <v>-2</v>
      </c>
      <c r="E333" s="346" t="str">
        <v>انتقال به تثبیت نهایی؛ تاریخ پایه پس از مهلت</v>
      </c>
      <c r="F333" s="346" t="str">
        <v>نظریه‌های روان‌درمانی پروچاسکا</v>
      </c>
      <c r="G333" s="346" t="str">
        <v>شکست/ضعف ← ضریب ← سررسید</v>
      </c>
      <c r="H333" s="346" t="str">
        <v>معتبر/انتقال نهایی</v>
      </c>
      <c r="I333" s="346"/>
      <c r="J333" s="346"/>
      <c r="K333" s="346"/>
      <c r="L333" s="346"/>
      <c r="M333" s="347"/>
    </row>
    <row r="334" ht="26" customHeight="1">
      <c r="A334" s="366" t="str">
        <v>U116</v>
      </c>
      <c r="B334" s="367" t="str">
        <v>۱۴۰۵/۰۷/۰۷</v>
      </c>
      <c r="C334" s="367" t="str">
        <v>۱۴۰۵/۰۷/۰۸</v>
      </c>
      <c r="D334" s="367" t="n">
        <v>1</v>
      </c>
      <c r="E334" s="367" t="str">
        <v>رفع برخورد و حفظ محدودیت دو درس</v>
      </c>
      <c r="F334" s="367" t="str">
        <v>نظریه‌های روان‌درمانی پروچاسکا</v>
      </c>
      <c r="G334" s="367" t="str">
        <v>شکست/ضعف ← ضریب ← سررسید</v>
      </c>
      <c r="H334" s="367" t="str">
        <v>معتبر/انتقال نهایی</v>
      </c>
      <c r="I334" s="367"/>
      <c r="J334" s="367"/>
      <c r="K334" s="367"/>
      <c r="L334" s="367"/>
      <c r="M334" s="368"/>
    </row>
    <row r="335" ht="26" customHeight="1">
      <c r="A335" s="345" t="str">
        <v>U116</v>
      </c>
      <c r="B335" s="346" t="str">
        <v>۱۴۰۵/۰۷/۰۹</v>
      </c>
      <c r="C335" s="346" t="str">
        <v>۱۴۰۵/۰۷/۰۸</v>
      </c>
      <c r="D335" s="346" t="n">
        <v>-1</v>
      </c>
      <c r="E335" s="346" t="str">
        <v>رفع برخورد و حفظ محدودیت دو درس</v>
      </c>
      <c r="F335" s="346" t="str">
        <v>نظریه‌های روان‌درمانی پروچاسکا</v>
      </c>
      <c r="G335" s="346" t="str">
        <v>شکست/ضعف ← ضریب ← سررسید</v>
      </c>
      <c r="H335" s="346" t="str">
        <v>معتبر/انتقال نهایی</v>
      </c>
      <c r="I335" s="346"/>
      <c r="J335" s="346"/>
      <c r="K335" s="346"/>
      <c r="L335" s="346"/>
      <c r="M335" s="347"/>
    </row>
    <row r="336" ht="26" customHeight="1">
      <c r="A336" s="366" t="str">
        <v>U116</v>
      </c>
      <c r="B336" s="367" t="str">
        <v>پس از مهلت</v>
      </c>
      <c r="C336" s="367" t="str">
        <v>۱۴۰۵/۰۷/۳۰</v>
      </c>
      <c r="D336" s="367" t="n">
        <v>-4</v>
      </c>
      <c r="E336" s="367" t="str">
        <v>انتقال به تثبیت نهایی؛ تاریخ پایه پس از مهلت</v>
      </c>
      <c r="F336" s="367" t="str">
        <v>نظریه‌های روان‌درمانی پروچاسکا</v>
      </c>
      <c r="G336" s="367" t="str">
        <v>شکست/ضعف ← ضریب ← سررسید</v>
      </c>
      <c r="H336" s="367" t="str">
        <v>معتبر/انتقال نهایی</v>
      </c>
      <c r="I336" s="367"/>
      <c r="J336" s="367"/>
      <c r="K336" s="367"/>
      <c r="L336" s="367"/>
      <c r="M336" s="368"/>
    </row>
    <row r="337" ht="26" customHeight="1">
      <c r="A337" s="345" t="str">
        <v>U117</v>
      </c>
      <c r="B337" s="346" t="str">
        <v>۱۴۰۵/۰۷/۰۹</v>
      </c>
      <c r="C337" s="346" t="str">
        <v>۱۴۰۵/۰۷/۰۸</v>
      </c>
      <c r="D337" s="346" t="n">
        <v>-1</v>
      </c>
      <c r="E337" s="346" t="str">
        <v>رفع برخورد و حفظ محدودیت دو درس</v>
      </c>
      <c r="F337" s="346" t="str">
        <v>نظریه‌های روان‌درمانی پروچاسکا</v>
      </c>
      <c r="G337" s="346" t="str">
        <v>شکست/ضعف ← ضریب ← سررسید</v>
      </c>
      <c r="H337" s="346" t="str">
        <v>معتبر/انتقال نهایی</v>
      </c>
      <c r="I337" s="346"/>
      <c r="J337" s="346"/>
      <c r="K337" s="346"/>
      <c r="L337" s="346"/>
      <c r="M337" s="347"/>
    </row>
    <row r="338" ht="26" customHeight="1">
      <c r="A338" s="366" t="str">
        <v>U117</v>
      </c>
      <c r="B338" s="367" t="str">
        <v>پس از مهلت</v>
      </c>
      <c r="C338" s="367" t="str">
        <v>۱۴۰۵/۰۷/۳۰</v>
      </c>
      <c r="D338" s="367" t="n">
        <v>-6</v>
      </c>
      <c r="E338" s="367" t="str">
        <v>انتقال به تثبیت نهایی؛ تاریخ پایه پس از مهلت</v>
      </c>
      <c r="F338" s="367" t="str">
        <v>نظریه‌های روان‌درمانی پروچاسکا</v>
      </c>
      <c r="G338" s="367" t="str">
        <v>شکست/ضعف ← ضریب ← سررسید</v>
      </c>
      <c r="H338" s="367" t="str">
        <v>معتبر/انتقال نهایی</v>
      </c>
      <c r="I338" s="367"/>
      <c r="J338" s="367"/>
      <c r="K338" s="367"/>
      <c r="L338" s="367"/>
      <c r="M338" s="368"/>
    </row>
    <row r="339" ht="26" customHeight="1">
      <c r="A339" s="345" t="str">
        <v>U118</v>
      </c>
      <c r="B339" s="346" t="str">
        <v>۱۴۰۵/۰۷/۰۹</v>
      </c>
      <c r="C339" s="346" t="str">
        <v>۱۴۰۵/۰۷/۰۸</v>
      </c>
      <c r="D339" s="346" t="n">
        <v>-1</v>
      </c>
      <c r="E339" s="346" t="str">
        <v>رفع برخورد و حفظ محدودیت دو درس</v>
      </c>
      <c r="F339" s="346" t="str">
        <v>نظریه‌های روان‌درمانی پروچاسکا</v>
      </c>
      <c r="G339" s="346" t="str">
        <v>شکست/ضعف ← ضریب ← سررسید</v>
      </c>
      <c r="H339" s="346" t="str">
        <v>معتبر/انتقال نهایی</v>
      </c>
      <c r="I339" s="346"/>
      <c r="J339" s="346"/>
      <c r="K339" s="346"/>
      <c r="L339" s="346"/>
      <c r="M339" s="347"/>
    </row>
    <row r="340" ht="26" customHeight="1">
      <c r="A340" s="366" t="str">
        <v>U118</v>
      </c>
      <c r="B340" s="367" t="str">
        <v>پس از مهلت</v>
      </c>
      <c r="C340" s="367" t="str">
        <v>۱۴۰۵/۰۷/۳۰</v>
      </c>
      <c r="D340" s="367" t="n">
        <v>-6</v>
      </c>
      <c r="E340" s="367" t="str">
        <v>انتقال به تثبیت نهایی؛ تاریخ پایه پس از مهلت</v>
      </c>
      <c r="F340" s="367" t="str">
        <v>نظریه‌های روان‌درمانی پروچاسکا</v>
      </c>
      <c r="G340" s="367" t="str">
        <v>شکست/ضعف ← ضریب ← سررسید</v>
      </c>
      <c r="H340" s="367" t="str">
        <v>معتبر/انتقال نهایی</v>
      </c>
      <c r="I340" s="367"/>
      <c r="J340" s="367"/>
      <c r="K340" s="367"/>
      <c r="L340" s="367"/>
      <c r="M340" s="368"/>
    </row>
    <row r="341" ht="26" customHeight="1">
      <c r="A341" s="345" t="str">
        <v>U119</v>
      </c>
      <c r="B341" s="346" t="str">
        <v>۱۴۰۵/۰۷/۱۲</v>
      </c>
      <c r="C341" s="346" t="str">
        <v>۱۴۰۵/۰۷/۱۳</v>
      </c>
      <c r="D341" s="346" t="n">
        <v>1</v>
      </c>
      <c r="E341" s="346" t="str">
        <v>رفع برخورد و حفظ محدودیت دو درس</v>
      </c>
      <c r="F341" s="346" t="str">
        <v>نظریه‌های روان‌درمانی پروچاسکا</v>
      </c>
      <c r="G341" s="346" t="str">
        <v>شکست/ضعف ← ضریب ← سررسید</v>
      </c>
      <c r="H341" s="346" t="str">
        <v>معتبر/انتقال نهایی</v>
      </c>
      <c r="I341" s="346"/>
      <c r="J341" s="346"/>
      <c r="K341" s="346"/>
      <c r="L341" s="346"/>
      <c r="M341" s="347"/>
    </row>
    <row r="342" ht="26" customHeight="1">
      <c r="A342" s="366" t="str">
        <v>U119</v>
      </c>
      <c r="B342" s="367" t="str">
        <v>۱۴۰۵/۰۷/۱۴</v>
      </c>
      <c r="C342" s="367" t="str">
        <v>۱۴۰۵/۰۷/۱۵</v>
      </c>
      <c r="D342" s="367" t="n">
        <v>1</v>
      </c>
      <c r="E342" s="367" t="str">
        <v>رفع برخورد و حفظ محدودیت دو درس</v>
      </c>
      <c r="F342" s="367" t="str">
        <v>نظریه‌های روان‌درمانی پروچاسکا</v>
      </c>
      <c r="G342" s="367" t="str">
        <v>شکست/ضعف ← ضریب ← سررسید</v>
      </c>
      <c r="H342" s="367" t="str">
        <v>معتبر/انتقال نهایی</v>
      </c>
      <c r="I342" s="367"/>
      <c r="J342" s="367"/>
      <c r="K342" s="367"/>
      <c r="L342" s="367"/>
      <c r="M342" s="368"/>
    </row>
    <row r="343" ht="26" customHeight="1">
      <c r="A343" s="345" t="str">
        <v>U119</v>
      </c>
      <c r="B343" s="346" t="str">
        <v>پس از مهلت</v>
      </c>
      <c r="C343" s="346" t="str">
        <v>۱۴۰۵/۰۷/۳۰</v>
      </c>
      <c r="D343" s="346" t="n">
        <v>-9</v>
      </c>
      <c r="E343" s="346" t="str">
        <v>انتقال به تثبیت نهایی؛ تاریخ پایه پس از مهلت</v>
      </c>
      <c r="F343" s="346" t="str">
        <v>نظریه‌های روان‌درمانی پروچاسکا</v>
      </c>
      <c r="G343" s="346" t="str">
        <v>شکست/ضعف ← ضریب ← سررسید</v>
      </c>
      <c r="H343" s="346" t="str">
        <v>معتبر/انتقال نهایی</v>
      </c>
      <c r="I343" s="346"/>
      <c r="J343" s="346"/>
      <c r="K343" s="346"/>
      <c r="L343" s="346"/>
      <c r="M343" s="347"/>
    </row>
    <row r="344" ht="26" customHeight="1">
      <c r="A344" s="366" t="str">
        <v>U120</v>
      </c>
      <c r="B344" s="367" t="str">
        <v>۱۴۰۵/۰۷/۱۲</v>
      </c>
      <c r="C344" s="367" t="str">
        <v>۱۴۰۵/۰۷/۱۳</v>
      </c>
      <c r="D344" s="367" t="n">
        <v>1</v>
      </c>
      <c r="E344" s="367" t="str">
        <v>رفع برخورد و حفظ محدودیت دو درس</v>
      </c>
      <c r="F344" s="367" t="str">
        <v>نظریه‌های روان‌درمانی پروچاسکا</v>
      </c>
      <c r="G344" s="367" t="str">
        <v>شکست/ضعف ← ضریب ← سررسید</v>
      </c>
      <c r="H344" s="367" t="str">
        <v>معتبر/انتقال نهایی</v>
      </c>
      <c r="I344" s="367"/>
      <c r="J344" s="367"/>
      <c r="K344" s="367"/>
      <c r="L344" s="367"/>
      <c r="M344" s="368"/>
    </row>
    <row r="345" ht="26" customHeight="1">
      <c r="A345" s="345" t="str">
        <v>U120</v>
      </c>
      <c r="B345" s="346" t="str">
        <v>۱۴۰۵/۰۷/۱۴</v>
      </c>
      <c r="C345" s="346" t="str">
        <v>۱۴۰۵/۰۷/۱۵</v>
      </c>
      <c r="D345" s="346" t="n">
        <v>1</v>
      </c>
      <c r="E345" s="346" t="str">
        <v>رفع برخورد و حفظ محدودیت دو درس</v>
      </c>
      <c r="F345" s="346" t="str">
        <v>نظریه‌های روان‌درمانی پروچاسکا</v>
      </c>
      <c r="G345" s="346" t="str">
        <v>شکست/ضعف ← ضریب ← سررسید</v>
      </c>
      <c r="H345" s="346" t="str">
        <v>معتبر/انتقال نهایی</v>
      </c>
      <c r="I345" s="346"/>
      <c r="J345" s="346"/>
      <c r="K345" s="346"/>
      <c r="L345" s="346"/>
      <c r="M345" s="347"/>
    </row>
    <row r="346" ht="26" customHeight="1">
      <c r="A346" s="366" t="str">
        <v>U120</v>
      </c>
      <c r="B346" s="367" t="str">
        <v>پس از مهلت</v>
      </c>
      <c r="C346" s="367" t="str">
        <v>۱۴۰۵/۰۷/۳۰</v>
      </c>
      <c r="D346" s="367" t="n">
        <v>-9</v>
      </c>
      <c r="E346" s="367" t="str">
        <v>انتقال به تثبیت نهایی؛ تاریخ پایه پس از مهلت</v>
      </c>
      <c r="F346" s="367" t="str">
        <v>نظریه‌های روان‌درمانی پروچاسکا</v>
      </c>
      <c r="G346" s="367" t="str">
        <v>شکست/ضعف ← ضریب ← سررسید</v>
      </c>
      <c r="H346" s="367" t="str">
        <v>معتبر/انتقال نهایی</v>
      </c>
      <c r="I346" s="367"/>
      <c r="J346" s="367"/>
      <c r="K346" s="367"/>
      <c r="L346" s="367"/>
      <c r="M346" s="368"/>
    </row>
    <row r="347" ht="26" customHeight="1">
      <c r="A347" s="345" t="str">
        <v>U121</v>
      </c>
      <c r="B347" s="346" t="str">
        <v>۱۴۰۵/۰۷/۱۴</v>
      </c>
      <c r="C347" s="346" t="str">
        <v>۱۴۰۵/۰۷/۱۵</v>
      </c>
      <c r="D347" s="346" t="n">
        <v>1</v>
      </c>
      <c r="E347" s="346" t="str">
        <v>رفع برخورد و حفظ محدودیت دو درس</v>
      </c>
      <c r="F347" s="346" t="str">
        <v>نظریه‌های روان‌درمانی پروچاسکا</v>
      </c>
      <c r="G347" s="346" t="str">
        <v>شکست/ضعف ← ضریب ← سررسید</v>
      </c>
      <c r="H347" s="346" t="str">
        <v>معتبر/انتقال نهایی</v>
      </c>
      <c r="I347" s="346"/>
      <c r="J347" s="346"/>
      <c r="K347" s="346"/>
      <c r="L347" s="346"/>
      <c r="M347" s="347"/>
    </row>
    <row r="348" ht="26" customHeight="1">
      <c r="A348" s="366" t="str">
        <v>U121</v>
      </c>
      <c r="B348" s="367" t="str">
        <v>۱۴۰۵/۰۷/۱۶</v>
      </c>
      <c r="C348" s="367" t="str">
        <v>۱۴۰۵/۰۷/۱۵</v>
      </c>
      <c r="D348" s="367" t="n">
        <v>-1</v>
      </c>
      <c r="E348" s="367" t="str">
        <v>رفع برخورد و حفظ محدودیت دو درس</v>
      </c>
      <c r="F348" s="367" t="str">
        <v>نظریه‌های روان‌درمانی پروچاسکا</v>
      </c>
      <c r="G348" s="367" t="str">
        <v>شکست/ضعف ← ضریب ← سررسید</v>
      </c>
      <c r="H348" s="367" t="str">
        <v>معتبر/انتقال نهایی</v>
      </c>
      <c r="I348" s="367"/>
      <c r="J348" s="367"/>
      <c r="K348" s="367"/>
      <c r="L348" s="367"/>
      <c r="M348" s="368"/>
    </row>
    <row r="349" ht="26" customHeight="1">
      <c r="A349" s="345" t="str">
        <v>U121</v>
      </c>
      <c r="B349" s="346" t="str">
        <v>پس از مهلت</v>
      </c>
      <c r="C349" s="346" t="str">
        <v>۱۴۰۵/۰۷/۳۰</v>
      </c>
      <c r="D349" s="346" t="n">
        <v>-11</v>
      </c>
      <c r="E349" s="346" t="str">
        <v>انتقال به تثبیت نهایی؛ تاریخ پایه پس از مهلت</v>
      </c>
      <c r="F349" s="346" t="str">
        <v>نظریه‌های روان‌درمانی پروچاسکا</v>
      </c>
      <c r="G349" s="346" t="str">
        <v>شکست/ضعف ← ضریب ← سررسید</v>
      </c>
      <c r="H349" s="346" t="str">
        <v>معتبر/انتقال نهایی</v>
      </c>
      <c r="I349" s="346"/>
      <c r="J349" s="346"/>
      <c r="K349" s="346"/>
      <c r="L349" s="346"/>
      <c r="M349" s="347"/>
    </row>
    <row r="350" ht="26" customHeight="1">
      <c r="A350" s="366" t="str">
        <v>U122</v>
      </c>
      <c r="B350" s="367" t="str">
        <v>۱۴۰۵/۰۷/۱۶</v>
      </c>
      <c r="C350" s="367" t="str">
        <v>۱۴۰۵/۰۷/۱۵</v>
      </c>
      <c r="D350" s="367" t="n">
        <v>-1</v>
      </c>
      <c r="E350" s="367" t="str">
        <v>رفع برخورد و حفظ محدودیت دو درس</v>
      </c>
      <c r="F350" s="367" t="str">
        <v>نظریه‌های روان‌درمانی پروچاسکا</v>
      </c>
      <c r="G350" s="367" t="str">
        <v>شکست/ضعف ← ضریب ← سررسید</v>
      </c>
      <c r="H350" s="367" t="str">
        <v>معتبر/انتقال نهایی</v>
      </c>
      <c r="I350" s="367"/>
      <c r="J350" s="367"/>
      <c r="K350" s="367"/>
      <c r="L350" s="367"/>
      <c r="M350" s="368"/>
    </row>
    <row r="351" ht="26" customHeight="1">
      <c r="A351" s="345" t="str">
        <v>U122</v>
      </c>
      <c r="B351" s="346" t="str">
        <v>۱۴۰۵/۰۷/۲۹</v>
      </c>
      <c r="C351" s="346" t="str">
        <v>۱۴۰۵/۰۷/۳۰</v>
      </c>
      <c r="D351" s="346" t="n">
        <v>1</v>
      </c>
      <c r="E351" s="346" t="str">
        <v>رفع برخورد و حفظ محدودیت دو درس</v>
      </c>
      <c r="F351" s="346" t="str">
        <v>نظریه‌های روان‌درمانی پروچاسکا</v>
      </c>
      <c r="G351" s="346" t="str">
        <v>شکست/ضعف ← ضریب ← سررسید</v>
      </c>
      <c r="H351" s="346" t="str">
        <v>معتبر/انتقال نهایی</v>
      </c>
      <c r="I351" s="346"/>
      <c r="J351" s="346"/>
      <c r="K351" s="346"/>
      <c r="L351" s="346"/>
      <c r="M351" s="347"/>
    </row>
    <row r="352" ht="26" customHeight="1">
      <c r="A352" s="366" t="str">
        <v>U122</v>
      </c>
      <c r="B352" s="367" t="str">
        <v>پس از مهلت</v>
      </c>
      <c r="C352" s="367" t="str">
        <v>۱۴۰۵/۰۷/۳۰</v>
      </c>
      <c r="D352" s="367" t="n">
        <v>-13</v>
      </c>
      <c r="E352" s="367" t="str">
        <v>انتقال به تثبیت نهایی؛ تاریخ پایه پس از مهلت</v>
      </c>
      <c r="F352" s="367" t="str">
        <v>نظریه‌های روان‌درمانی پروچاسکا</v>
      </c>
      <c r="G352" s="367" t="str">
        <v>شکست/ضعف ← ضریب ← سررسید</v>
      </c>
      <c r="H352" s="367" t="str">
        <v>معتبر/انتقال نهایی</v>
      </c>
      <c r="I352" s="367"/>
      <c r="J352" s="367"/>
      <c r="K352" s="367"/>
      <c r="L352" s="367"/>
      <c r="M352" s="368"/>
    </row>
    <row r="353" ht="26" customHeight="1">
      <c r="A353" s="345" t="str">
        <v>U123</v>
      </c>
      <c r="B353" s="346" t="str">
        <v>۱۴۰۵/۰۷/۱۶</v>
      </c>
      <c r="C353" s="346" t="str">
        <v>۱۴۰۵/۰۷/۱۵</v>
      </c>
      <c r="D353" s="346" t="n">
        <v>-1</v>
      </c>
      <c r="E353" s="346" t="str">
        <v>رفع برخورد و حفظ محدودیت دو درس</v>
      </c>
      <c r="F353" s="346" t="str">
        <v>نظریه‌های روان‌درمانی پروچاسکا</v>
      </c>
      <c r="G353" s="346" t="str">
        <v>شکست/ضعف ← ضریب ← سررسید</v>
      </c>
      <c r="H353" s="346" t="str">
        <v>معتبر/انتقال نهایی</v>
      </c>
      <c r="I353" s="346"/>
      <c r="J353" s="346"/>
      <c r="K353" s="346"/>
      <c r="L353" s="346"/>
      <c r="M353" s="347"/>
    </row>
    <row r="354" ht="26" customHeight="1">
      <c r="A354" s="366" t="str">
        <v>U123</v>
      </c>
      <c r="B354" s="367" t="str">
        <v>۱۴۰۵/۰۷/۲۹</v>
      </c>
      <c r="C354" s="367" t="str">
        <v>۱۴۰۵/۰۷/۳۰</v>
      </c>
      <c r="D354" s="367" t="n">
        <v>1</v>
      </c>
      <c r="E354" s="367" t="str">
        <v>رفع برخورد و حفظ محدودیت دو درس</v>
      </c>
      <c r="F354" s="367" t="str">
        <v>نظریه‌های روان‌درمانی پروچاسکا</v>
      </c>
      <c r="G354" s="367" t="str">
        <v>شکست/ضعف ← ضریب ← سررسید</v>
      </c>
      <c r="H354" s="367" t="str">
        <v>معتبر/انتقال نهایی</v>
      </c>
      <c r="I354" s="367"/>
      <c r="J354" s="367"/>
      <c r="K354" s="367"/>
      <c r="L354" s="367"/>
      <c r="M354" s="368"/>
    </row>
    <row r="355" ht="26" customHeight="1">
      <c r="A355" s="345" t="str">
        <v>U123</v>
      </c>
      <c r="B355" s="346" t="str">
        <v>پس از مهلت</v>
      </c>
      <c r="C355" s="346" t="str">
        <v>۱۴۰۵/۰۷/۳۰</v>
      </c>
      <c r="D355" s="346" t="n">
        <v>-13</v>
      </c>
      <c r="E355" s="346" t="str">
        <v>انتقال به تثبیت نهایی؛ تاریخ پایه پس از مهلت</v>
      </c>
      <c r="F355" s="346" t="str">
        <v>نظریه‌های روان‌درمانی پروچاسکا</v>
      </c>
      <c r="G355" s="346" t="str">
        <v>شکست/ضعف ← ضریب ← سررسید</v>
      </c>
      <c r="H355" s="346" t="str">
        <v>معتبر/انتقال نهایی</v>
      </c>
      <c r="I355" s="346"/>
      <c r="J355" s="346"/>
      <c r="K355" s="346"/>
      <c r="L355" s="346"/>
      <c r="M355" s="347"/>
    </row>
    <row r="356" ht="26" customHeight="1">
      <c r="A356" s="366" t="str">
        <v>U124</v>
      </c>
      <c r="B356" s="367" t="str">
        <v>۱۴۰۵/۰۷/۱۹</v>
      </c>
      <c r="C356" s="367" t="str">
        <v>۱۴۰۵/۰۷/۲۰</v>
      </c>
      <c r="D356" s="367" t="n">
        <v>1</v>
      </c>
      <c r="E356" s="367" t="str">
        <v>رفع برخورد و حفظ محدودیت دو درس</v>
      </c>
      <c r="F356" s="367" t="str">
        <v>نظریه‌های روان‌درمانی پروچاسکا</v>
      </c>
      <c r="G356" s="367" t="str">
        <v>شکست/ضعف ← ضریب ← سررسید</v>
      </c>
      <c r="H356" s="367" t="str">
        <v>معتبر/انتقال نهایی</v>
      </c>
      <c r="I356" s="367"/>
      <c r="J356" s="367"/>
      <c r="K356" s="367"/>
      <c r="L356" s="367"/>
      <c r="M356" s="368"/>
    </row>
    <row r="357" ht="26" customHeight="1">
      <c r="A357" s="345" t="str">
        <v>U124</v>
      </c>
      <c r="B357" s="346" t="str">
        <v>۱۴۰۵/۰۷/۲۱</v>
      </c>
      <c r="C357" s="346" t="str">
        <v>۱۴۰۵/۰۷/۲۲</v>
      </c>
      <c r="D357" s="346" t="n">
        <v>1</v>
      </c>
      <c r="E357" s="346" t="str">
        <v>رفع برخورد و حفظ محدودیت دو درس</v>
      </c>
      <c r="F357" s="346" t="str">
        <v>نظریه‌های روان‌درمانی پروچاسکا</v>
      </c>
      <c r="G357" s="346" t="str">
        <v>شکست/ضعف ← ضریب ← سررسید</v>
      </c>
      <c r="H357" s="346" t="str">
        <v>معتبر/انتقال نهایی</v>
      </c>
      <c r="I357" s="346"/>
      <c r="J357" s="346"/>
      <c r="K357" s="346"/>
      <c r="L357" s="346"/>
      <c r="M357" s="347"/>
    </row>
    <row r="358" ht="26" customHeight="1">
      <c r="A358" s="366" t="str">
        <v>U124</v>
      </c>
      <c r="B358" s="367" t="str">
        <v>پس از مهلت</v>
      </c>
      <c r="C358" s="367" t="str">
        <v>۱۴۰۵/۰۷/۳۰</v>
      </c>
      <c r="D358" s="367" t="n">
        <v>-2</v>
      </c>
      <c r="E358" s="367" t="str">
        <v>انتقال به تثبیت نهایی؛ تاریخ پایه پس از مهلت</v>
      </c>
      <c r="F358" s="367" t="str">
        <v>نظریه‌های روان‌درمانی پروچاسکا</v>
      </c>
      <c r="G358" s="367" t="str">
        <v>شکست/ضعف ← ضریب ← سررسید</v>
      </c>
      <c r="H358" s="367" t="str">
        <v>معتبر/انتقال نهایی</v>
      </c>
      <c r="I358" s="367"/>
      <c r="J358" s="367"/>
      <c r="K358" s="367"/>
      <c r="L358" s="367"/>
      <c r="M358" s="368"/>
    </row>
    <row r="359" ht="26" customHeight="1">
      <c r="A359" s="345" t="str">
        <v>U124</v>
      </c>
      <c r="B359" s="346" t="str">
        <v>پس از مهلت</v>
      </c>
      <c r="C359" s="346" t="str">
        <v>۱۴۰۵/۰۷/۳۰</v>
      </c>
      <c r="D359" s="346" t="n">
        <v>-16</v>
      </c>
      <c r="E359" s="346" t="str">
        <v>انتقال به تثبیت نهایی؛ تاریخ پایه پس از مهلت</v>
      </c>
      <c r="F359" s="346" t="str">
        <v>نظریه‌های روان‌درمانی پروچاسکا</v>
      </c>
      <c r="G359" s="346" t="str">
        <v>شکست/ضعف ← ضریب ← سررسید</v>
      </c>
      <c r="H359" s="346" t="str">
        <v>معتبر/انتقال نهایی</v>
      </c>
      <c r="I359" s="346"/>
      <c r="J359" s="346"/>
      <c r="K359" s="346"/>
      <c r="L359" s="346"/>
      <c r="M359" s="347"/>
    </row>
    <row r="360" ht="26" customHeight="1">
      <c r="A360" s="366" t="str">
        <v>U125</v>
      </c>
      <c r="B360" s="367" t="str">
        <v>۱۴۰۵/۰۷/۲۱</v>
      </c>
      <c r="C360" s="367" t="str">
        <v>۱۴۰۵/۰۷/۲۲</v>
      </c>
      <c r="D360" s="367" t="n">
        <v>1</v>
      </c>
      <c r="E360" s="367" t="str">
        <v>رفع برخورد و حفظ محدودیت دو درس</v>
      </c>
      <c r="F360" s="367" t="str">
        <v>نظریه‌های روان‌درمانی پروچاسکا</v>
      </c>
      <c r="G360" s="367" t="str">
        <v>شکست/ضعف ← ضریب ← سررسید</v>
      </c>
      <c r="H360" s="367" t="str">
        <v>معتبر/انتقال نهایی</v>
      </c>
      <c r="I360" s="367"/>
      <c r="J360" s="367"/>
      <c r="K360" s="367"/>
      <c r="L360" s="367"/>
      <c r="M360" s="368"/>
    </row>
    <row r="361" ht="26" customHeight="1">
      <c r="A361" s="345" t="str">
        <v>U125</v>
      </c>
      <c r="B361" s="346" t="str">
        <v>پس از مهلت</v>
      </c>
      <c r="C361" s="346" t="str">
        <v>۱۴۰۵/۰۷/۳۰</v>
      </c>
      <c r="D361" s="346" t="n">
        <v>-4</v>
      </c>
      <c r="E361" s="346" t="str">
        <v>انتقال به تثبیت نهایی؛ تاریخ پایه پس از مهلت</v>
      </c>
      <c r="F361" s="346" t="str">
        <v>نظریه‌های روان‌درمانی پروچاسکا</v>
      </c>
      <c r="G361" s="346" t="str">
        <v>شکست/ضعف ← ضریب ← سررسید</v>
      </c>
      <c r="H361" s="346" t="str">
        <v>معتبر/انتقال نهایی</v>
      </c>
      <c r="I361" s="346"/>
      <c r="J361" s="346"/>
      <c r="K361" s="346"/>
      <c r="L361" s="346"/>
      <c r="M361" s="347"/>
    </row>
    <row r="362" ht="26" customHeight="1">
      <c r="A362" s="366" t="str">
        <v>U125</v>
      </c>
      <c r="B362" s="367" t="str">
        <v>پس از مهلت</v>
      </c>
      <c r="C362" s="367" t="str">
        <v>۱۴۰۵/۰۷/۳۰</v>
      </c>
      <c r="D362" s="367" t="n">
        <v>-18</v>
      </c>
      <c r="E362" s="367" t="str">
        <v>انتقال به تثبیت نهایی؛ تاریخ پایه پس از مهلت</v>
      </c>
      <c r="F362" s="367" t="str">
        <v>نظریه‌های روان‌درمانی پروچاسکا</v>
      </c>
      <c r="G362" s="367" t="str">
        <v>شکست/ضعف ← ضریب ← سررسید</v>
      </c>
      <c r="H362" s="367" t="str">
        <v>معتبر/انتقال نهایی</v>
      </c>
      <c r="I362" s="367"/>
      <c r="J362" s="367"/>
      <c r="K362" s="367"/>
      <c r="L362" s="367"/>
      <c r="M362" s="368"/>
    </row>
    <row r="363" ht="26" customHeight="1">
      <c r="A363" s="345" t="str">
        <v>U126</v>
      </c>
      <c r="B363" s="346" t="str">
        <v>۱۴۰۵/۰۷/۲۱</v>
      </c>
      <c r="C363" s="346" t="str">
        <v>۱۴۰۵/۰۷/۲۲</v>
      </c>
      <c r="D363" s="346" t="n">
        <v>1</v>
      </c>
      <c r="E363" s="346" t="str">
        <v>رفع برخورد و حفظ محدودیت دو درس</v>
      </c>
      <c r="F363" s="346" t="str">
        <v>نظریه‌های روان‌درمانی پروچاسکا</v>
      </c>
      <c r="G363" s="346" t="str">
        <v>شکست/ضعف ← ضریب ← سررسید</v>
      </c>
      <c r="H363" s="346" t="str">
        <v>معتبر/انتقال نهایی</v>
      </c>
      <c r="I363" s="346"/>
      <c r="J363" s="346"/>
      <c r="K363" s="346"/>
      <c r="L363" s="346"/>
      <c r="M363" s="347"/>
    </row>
    <row r="364" ht="26" customHeight="1">
      <c r="A364" s="366" t="str">
        <v>U126</v>
      </c>
      <c r="B364" s="367" t="str">
        <v>پس از مهلت</v>
      </c>
      <c r="C364" s="367" t="str">
        <v>۱۴۰۵/۰۷/۳۰</v>
      </c>
      <c r="D364" s="367" t="n">
        <v>-4</v>
      </c>
      <c r="E364" s="367" t="str">
        <v>انتقال به تثبیت نهایی؛ تاریخ پایه پس از مهلت</v>
      </c>
      <c r="F364" s="367" t="str">
        <v>نظریه‌های روان‌درمانی پروچاسکا</v>
      </c>
      <c r="G364" s="367" t="str">
        <v>شکست/ضعف ← ضریب ← سررسید</v>
      </c>
      <c r="H364" s="367" t="str">
        <v>معتبر/انتقال نهایی</v>
      </c>
      <c r="I364" s="367"/>
      <c r="J364" s="367"/>
      <c r="K364" s="367"/>
      <c r="L364" s="367"/>
      <c r="M364" s="368"/>
    </row>
    <row r="365" ht="26" customHeight="1">
      <c r="A365" s="345" t="str">
        <v>U126</v>
      </c>
      <c r="B365" s="346" t="str">
        <v>پس از مهلت</v>
      </c>
      <c r="C365" s="346" t="str">
        <v>۱۴۰۵/۰۷/۳۰</v>
      </c>
      <c r="D365" s="346" t="n">
        <v>-18</v>
      </c>
      <c r="E365" s="346" t="str">
        <v>انتقال به تثبیت نهایی؛ تاریخ پایه پس از مهلت</v>
      </c>
      <c r="F365" s="346" t="str">
        <v>نظریه‌های روان‌درمانی پروچاسکا</v>
      </c>
      <c r="G365" s="346" t="str">
        <v>شکست/ضعف ← ضریب ← سررسید</v>
      </c>
      <c r="H365" s="346" t="str">
        <v>معتبر/انتقال نهایی</v>
      </c>
      <c r="I365" s="346"/>
      <c r="J365" s="346"/>
      <c r="K365" s="346"/>
      <c r="L365" s="346"/>
      <c r="M365" s="347"/>
    </row>
    <row r="366" ht="26" customHeight="1">
      <c r="A366" s="366" t="str">
        <v>U127</v>
      </c>
      <c r="B366" s="367" t="str">
        <v>۱۴۰۵/۰۷/۲۹</v>
      </c>
      <c r="C366" s="367" t="str">
        <v>۱۴۰۵/۰۷/۳۰</v>
      </c>
      <c r="D366" s="367" t="n">
        <v>1</v>
      </c>
      <c r="E366" s="367" t="str">
        <v>رفع برخورد و حفظ محدودیت دو درس</v>
      </c>
      <c r="F366" s="367" t="str">
        <v>نظریه‌های روان‌درمانی پروچاسکا</v>
      </c>
      <c r="G366" s="367" t="str">
        <v>شکست/ضعف ← ضریب ← سررسید</v>
      </c>
      <c r="H366" s="367" t="str">
        <v>معتبر/انتقال نهایی</v>
      </c>
      <c r="I366" s="367"/>
      <c r="J366" s="367"/>
      <c r="K366" s="367"/>
      <c r="L366" s="367"/>
      <c r="M366" s="368"/>
    </row>
    <row r="367" ht="26" customHeight="1">
      <c r="A367" s="345" t="str">
        <v>U127</v>
      </c>
      <c r="B367" s="346" t="str">
        <v>پس از مهلت</v>
      </c>
      <c r="C367" s="346" t="str">
        <v>۱۴۰۵/۰۷/۳۰</v>
      </c>
      <c r="D367" s="346" t="n">
        <v>-6</v>
      </c>
      <c r="E367" s="346" t="str">
        <v>انتقال به تثبیت نهایی؛ تاریخ پایه پس از مهلت</v>
      </c>
      <c r="F367" s="346" t="str">
        <v>نظریه‌های روان‌درمانی پروچاسکا</v>
      </c>
      <c r="G367" s="346" t="str">
        <v>شکست/ضعف ← ضریب ← سررسید</v>
      </c>
      <c r="H367" s="346" t="str">
        <v>معتبر/انتقال نهایی</v>
      </c>
      <c r="I367" s="346"/>
      <c r="J367" s="346"/>
      <c r="K367" s="346"/>
      <c r="L367" s="346"/>
      <c r="M367" s="347"/>
    </row>
    <row r="368" ht="26" customHeight="1">
      <c r="A368" s="366" t="str">
        <v>U127</v>
      </c>
      <c r="B368" s="367" t="str">
        <v>پس از مهلت</v>
      </c>
      <c r="C368" s="367" t="str">
        <v>۱۴۰۵/۰۷/۳۰</v>
      </c>
      <c r="D368" s="367" t="n">
        <v>-20</v>
      </c>
      <c r="E368" s="367" t="str">
        <v>انتقال به تثبیت نهایی؛ تاریخ پایه پس از مهلت</v>
      </c>
      <c r="F368" s="367" t="str">
        <v>نظریه‌های روان‌درمانی پروچاسکا</v>
      </c>
      <c r="G368" s="367" t="str">
        <v>شکست/ضعف ← ضریب ← سررسید</v>
      </c>
      <c r="H368" s="367" t="str">
        <v>معتبر/انتقال نهایی</v>
      </c>
      <c r="I368" s="367"/>
      <c r="J368" s="367"/>
      <c r="K368" s="367"/>
      <c r="L368" s="367"/>
      <c r="M368" s="368"/>
    </row>
    <row r="369" ht="26" customHeight="1">
      <c r="A369" s="345" t="str">
        <v>U128</v>
      </c>
      <c r="B369" s="346" t="str">
        <v>۱۴۰۵/۰۵/۲۱</v>
      </c>
      <c r="C369" s="346" t="str">
        <v>۱۴۰۵/۰۵/۲۰</v>
      </c>
      <c r="D369" s="346" t="n">
        <v>-1</v>
      </c>
      <c r="E369" s="346" t="str">
        <v>رفع برخورد و حفظ محدودیت دو درس</v>
      </c>
      <c r="F369" s="346" t="str">
        <v>روان‌شناسی رشد کرین</v>
      </c>
      <c r="G369" s="346" t="str">
        <v>شکست/ضعف ← ضریب ← سررسید</v>
      </c>
      <c r="H369" s="346" t="str">
        <v>معتبر/انتقال نهایی</v>
      </c>
      <c r="I369" s="346"/>
      <c r="J369" s="346"/>
      <c r="K369" s="346"/>
      <c r="L369" s="346"/>
      <c r="M369" s="347"/>
    </row>
    <row r="370" ht="26" customHeight="1">
      <c r="A370" s="366" t="str">
        <v>U128</v>
      </c>
      <c r="B370" s="367" t="str">
        <v>۱۴۰۵/۰۵/۲۳</v>
      </c>
      <c r="C370" s="367" t="str">
        <v>۱۴۰۵/۰۵/۲۴</v>
      </c>
      <c r="D370" s="367" t="n">
        <v>1</v>
      </c>
      <c r="E370" s="367" t="str">
        <v>رفع برخورد و حفظ محدودیت دو درس</v>
      </c>
      <c r="F370" s="367" t="str">
        <v>روان‌شناسی رشد کرین</v>
      </c>
      <c r="G370" s="367" t="str">
        <v>شکست/ضعف ← ضریب ← سررسید</v>
      </c>
      <c r="H370" s="367" t="str">
        <v>معتبر/انتقال نهایی</v>
      </c>
      <c r="I370" s="367"/>
      <c r="J370" s="367"/>
      <c r="K370" s="367"/>
      <c r="L370" s="367"/>
      <c r="M370" s="368"/>
    </row>
    <row r="371" ht="26" customHeight="1">
      <c r="A371" s="345" t="str">
        <v>U128</v>
      </c>
      <c r="B371" s="346" t="str">
        <v>۱۴۰۵/۰۶/۰۳</v>
      </c>
      <c r="C371" s="346" t="str">
        <v>۱۴۰۵/۰۶/۰۴</v>
      </c>
      <c r="D371" s="346" t="n">
        <v>1</v>
      </c>
      <c r="E371" s="346" t="str">
        <v>رفع برخورد و حفظ محدودیت دو درس</v>
      </c>
      <c r="F371" s="346" t="str">
        <v>روان‌شناسی رشد کرین</v>
      </c>
      <c r="G371" s="346" t="str">
        <v>شکست/ضعف ← ضریب ← سررسید</v>
      </c>
      <c r="H371" s="346" t="str">
        <v>معتبر/انتقال نهایی</v>
      </c>
      <c r="I371" s="346"/>
      <c r="J371" s="346"/>
      <c r="K371" s="346"/>
      <c r="L371" s="346"/>
      <c r="M371" s="347"/>
    </row>
    <row r="372" ht="26" customHeight="1">
      <c r="A372" s="366" t="str">
        <v>U128</v>
      </c>
      <c r="B372" s="367" t="str">
        <v>۱۴۰۵/۰۶/۱۷</v>
      </c>
      <c r="C372" s="367" t="str">
        <v>۱۴۰۵/۰۶/۱۸</v>
      </c>
      <c r="D372" s="367" t="n">
        <v>1</v>
      </c>
      <c r="E372" s="367" t="str">
        <v>رفع برخورد و حفظ محدودیت دو درس</v>
      </c>
      <c r="F372" s="367" t="str">
        <v>روان‌شناسی رشد کرین</v>
      </c>
      <c r="G372" s="367" t="str">
        <v>شکست/ضعف ← ضریب ← سررسید</v>
      </c>
      <c r="H372" s="367" t="str">
        <v>معتبر/انتقال نهایی</v>
      </c>
      <c r="I372" s="367"/>
      <c r="J372" s="367"/>
      <c r="K372" s="367"/>
      <c r="L372" s="367"/>
      <c r="M372" s="368"/>
    </row>
    <row r="373" ht="26" customHeight="1">
      <c r="A373" s="345" t="str">
        <v>U129</v>
      </c>
      <c r="B373" s="346" t="str">
        <v>۱۴۰۵/۰۵/۲۱</v>
      </c>
      <c r="C373" s="346" t="str">
        <v>۱۴۰۵/۰۵/۲۰</v>
      </c>
      <c r="D373" s="346" t="n">
        <v>-1</v>
      </c>
      <c r="E373" s="346" t="str">
        <v>رفع برخورد و حفظ محدودیت دو درس</v>
      </c>
      <c r="F373" s="346" t="str">
        <v>روان‌شناسی رشد کرین</v>
      </c>
      <c r="G373" s="346" t="str">
        <v>شکست/ضعف ← ضریب ← سررسید</v>
      </c>
      <c r="H373" s="346" t="str">
        <v>معتبر/انتقال نهایی</v>
      </c>
      <c r="I373" s="346"/>
      <c r="J373" s="346"/>
      <c r="K373" s="346"/>
      <c r="L373" s="346"/>
      <c r="M373" s="347"/>
    </row>
    <row r="374" ht="26" customHeight="1">
      <c r="A374" s="366" t="str">
        <v>U129</v>
      </c>
      <c r="B374" s="367" t="str">
        <v>۱۴۰۵/۰۵/۲۳</v>
      </c>
      <c r="C374" s="367" t="str">
        <v>۱۴۰۵/۰۵/۲۴</v>
      </c>
      <c r="D374" s="367" t="n">
        <v>1</v>
      </c>
      <c r="E374" s="367" t="str">
        <v>رفع برخورد و حفظ محدودیت دو درس</v>
      </c>
      <c r="F374" s="367" t="str">
        <v>روان‌شناسی رشد کرین</v>
      </c>
      <c r="G374" s="367" t="str">
        <v>شکست/ضعف ← ضریب ← سررسید</v>
      </c>
      <c r="H374" s="367" t="str">
        <v>معتبر/انتقال نهایی</v>
      </c>
      <c r="I374" s="367"/>
      <c r="J374" s="367"/>
      <c r="K374" s="367"/>
      <c r="L374" s="367"/>
      <c r="M374" s="368"/>
    </row>
    <row r="375" ht="26" customHeight="1">
      <c r="A375" s="345" t="str">
        <v>U129</v>
      </c>
      <c r="B375" s="346" t="str">
        <v>۱۴۰۵/۰۶/۰۳</v>
      </c>
      <c r="C375" s="346" t="str">
        <v>۱۴۰۵/۰۶/۰۴</v>
      </c>
      <c r="D375" s="346" t="n">
        <v>1</v>
      </c>
      <c r="E375" s="346" t="str">
        <v>رفع برخورد و حفظ محدودیت دو درس</v>
      </c>
      <c r="F375" s="346" t="str">
        <v>روان‌شناسی رشد کرین</v>
      </c>
      <c r="G375" s="346" t="str">
        <v>شکست/ضعف ← ضریب ← سررسید</v>
      </c>
      <c r="H375" s="346" t="str">
        <v>معتبر/انتقال نهایی</v>
      </c>
      <c r="I375" s="346"/>
      <c r="J375" s="346"/>
      <c r="K375" s="346"/>
      <c r="L375" s="346"/>
      <c r="M375" s="347"/>
    </row>
    <row r="376" ht="26" customHeight="1">
      <c r="A376" s="366" t="str">
        <v>U129</v>
      </c>
      <c r="B376" s="367" t="str">
        <v>۱۴۰۵/۰۶/۱۷</v>
      </c>
      <c r="C376" s="367" t="str">
        <v>۱۴۰۵/۰۶/۱۸</v>
      </c>
      <c r="D376" s="367" t="n">
        <v>1</v>
      </c>
      <c r="E376" s="367" t="str">
        <v>رفع برخورد و حفظ محدودیت دو درس</v>
      </c>
      <c r="F376" s="367" t="str">
        <v>روان‌شناسی رشد کرین</v>
      </c>
      <c r="G376" s="367" t="str">
        <v>شکست/ضعف ← ضریب ← سررسید</v>
      </c>
      <c r="H376" s="367" t="str">
        <v>معتبر/انتقال نهایی</v>
      </c>
      <c r="I376" s="367"/>
      <c r="J376" s="367"/>
      <c r="K376" s="367"/>
      <c r="L376" s="367"/>
      <c r="M376" s="368"/>
    </row>
    <row r="377" ht="26" customHeight="1">
      <c r="A377" s="345" t="str">
        <v>U131</v>
      </c>
      <c r="B377" s="346" t="str">
        <v>۱۴۰۵/۰۵/۲۸</v>
      </c>
      <c r="C377" s="346" t="str">
        <v>۱۴۰۵/۰۵/۲۹</v>
      </c>
      <c r="D377" s="346" t="n">
        <v>1</v>
      </c>
      <c r="E377" s="346" t="str">
        <v>رفع برخورد و حفظ محدودیت دو درس</v>
      </c>
      <c r="F377" s="346" t="str">
        <v>روان‌شناسی رشد کرین</v>
      </c>
      <c r="G377" s="346" t="str">
        <v>شکست/ضعف ← ضریب ← سررسید</v>
      </c>
      <c r="H377" s="346" t="str">
        <v>معتبر/انتقال نهایی</v>
      </c>
      <c r="I377" s="346"/>
      <c r="J377" s="346"/>
      <c r="K377" s="346"/>
      <c r="L377" s="346"/>
      <c r="M377" s="347"/>
    </row>
    <row r="378" ht="26" customHeight="1">
      <c r="A378" s="366" t="str">
        <v>U131</v>
      </c>
      <c r="B378" s="367" t="str">
        <v>۱۴۰۵/۰۶/۰۸</v>
      </c>
      <c r="C378" s="367" t="str">
        <v>۱۴۰۵/۰۶/۰۹</v>
      </c>
      <c r="D378" s="367" t="n">
        <v>1</v>
      </c>
      <c r="E378" s="367" t="str">
        <v>رفع برخورد و حفظ محدودیت دو درس</v>
      </c>
      <c r="F378" s="367" t="str">
        <v>روان‌شناسی رشد کرین</v>
      </c>
      <c r="G378" s="367" t="str">
        <v>شکست/ضعف ← ضریب ← سررسید</v>
      </c>
      <c r="H378" s="367" t="str">
        <v>معتبر/انتقال نهایی</v>
      </c>
      <c r="I378" s="367"/>
      <c r="J378" s="367"/>
      <c r="K378" s="367"/>
      <c r="L378" s="367"/>
      <c r="M378" s="368"/>
    </row>
    <row r="379" ht="26" customHeight="1">
      <c r="A379" s="345" t="str">
        <v>U131</v>
      </c>
      <c r="B379" s="346" t="str">
        <v>۱۴۰۵/۰۶/۲۲</v>
      </c>
      <c r="C379" s="346" t="str">
        <v>۱۴۰۵/۰۶/۲۳</v>
      </c>
      <c r="D379" s="346" t="n">
        <v>1</v>
      </c>
      <c r="E379" s="346" t="str">
        <v>رفع برخورد و حفظ محدودیت دو درس</v>
      </c>
      <c r="F379" s="346" t="str">
        <v>روان‌شناسی رشد کرین</v>
      </c>
      <c r="G379" s="346" t="str">
        <v>شکست/ضعف ← ضریب ← سررسید</v>
      </c>
      <c r="H379" s="346" t="str">
        <v>معتبر/انتقال نهایی</v>
      </c>
      <c r="I379" s="346"/>
      <c r="J379" s="346"/>
      <c r="K379" s="346"/>
      <c r="L379" s="346"/>
      <c r="M379" s="347"/>
    </row>
    <row r="380" ht="26" customHeight="1">
      <c r="A380" s="366" t="str">
        <v>U133</v>
      </c>
      <c r="B380" s="367" t="str">
        <v>۱۴۰۵/۰۵/۲۸</v>
      </c>
      <c r="C380" s="367" t="str">
        <v>۱۴۰۵/۰۵/۲۹</v>
      </c>
      <c r="D380" s="367" t="n">
        <v>1</v>
      </c>
      <c r="E380" s="367" t="str">
        <v>رفع برخورد و حفظ محدودیت دو درس</v>
      </c>
      <c r="F380" s="367" t="str">
        <v>روان‌شناسی رشد کرین</v>
      </c>
      <c r="G380" s="367" t="str">
        <v>شکست/ضعف ← ضریب ← سررسید</v>
      </c>
      <c r="H380" s="367" t="str">
        <v>معتبر/انتقال نهایی</v>
      </c>
      <c r="I380" s="367"/>
      <c r="J380" s="367"/>
      <c r="K380" s="367"/>
      <c r="L380" s="367"/>
      <c r="M380" s="368"/>
    </row>
    <row r="381" ht="26" customHeight="1">
      <c r="A381" s="345" t="str">
        <v>U133</v>
      </c>
      <c r="B381" s="346" t="str">
        <v>۱۴۰۵/۰۵/۳۰</v>
      </c>
      <c r="C381" s="346" t="str">
        <v>۱۴۰۵/۰۵/۳۱</v>
      </c>
      <c r="D381" s="346" t="n">
        <v>1</v>
      </c>
      <c r="E381" s="346" t="str">
        <v>رفع برخورد و حفظ محدودیت دو درس</v>
      </c>
      <c r="F381" s="346" t="str">
        <v>روان‌شناسی رشد کرین</v>
      </c>
      <c r="G381" s="346" t="str">
        <v>شکست/ضعف ← ضریب ← سررسید</v>
      </c>
      <c r="H381" s="346" t="str">
        <v>معتبر/انتقال نهایی</v>
      </c>
      <c r="I381" s="346"/>
      <c r="J381" s="346"/>
      <c r="K381" s="346"/>
      <c r="L381" s="346"/>
      <c r="M381" s="347"/>
    </row>
    <row r="382" ht="26" customHeight="1">
      <c r="A382" s="366" t="str">
        <v>U133</v>
      </c>
      <c r="B382" s="367" t="str">
        <v>۱۴۰۵/۰۶/۰۳</v>
      </c>
      <c r="C382" s="367" t="str">
        <v>۱۴۰۵/۰۶/۰۴</v>
      </c>
      <c r="D382" s="367" t="n">
        <v>1</v>
      </c>
      <c r="E382" s="367" t="str">
        <v>رفع برخورد و حفظ محدودیت دو درس</v>
      </c>
      <c r="F382" s="367" t="str">
        <v>روان‌شناسی رشد کرین</v>
      </c>
      <c r="G382" s="367" t="str">
        <v>شکست/ضعف ← ضریب ← سررسید</v>
      </c>
      <c r="H382" s="367" t="str">
        <v>معتبر/انتقال نهایی</v>
      </c>
      <c r="I382" s="367"/>
      <c r="J382" s="367"/>
      <c r="K382" s="367"/>
      <c r="L382" s="367"/>
      <c r="M382" s="368"/>
    </row>
    <row r="383" ht="26" customHeight="1">
      <c r="A383" s="345" t="str">
        <v>U133</v>
      </c>
      <c r="B383" s="346" t="str">
        <v>۱۴۰۵/۰۶/۱۰</v>
      </c>
      <c r="C383" s="346" t="str">
        <v>۱۴۰۵/۰۶/۱۱</v>
      </c>
      <c r="D383" s="346" t="n">
        <v>1</v>
      </c>
      <c r="E383" s="346" t="str">
        <v>رفع برخورد و حفظ محدودیت دو درس</v>
      </c>
      <c r="F383" s="346" t="str">
        <v>روان‌شناسی رشد کرین</v>
      </c>
      <c r="G383" s="346" t="str">
        <v>شکست/ضعف ← ضریب ← سررسید</v>
      </c>
      <c r="H383" s="346" t="str">
        <v>معتبر/انتقال نهایی</v>
      </c>
      <c r="I383" s="346"/>
      <c r="J383" s="346"/>
      <c r="K383" s="346"/>
      <c r="L383" s="346"/>
      <c r="M383" s="347"/>
    </row>
    <row r="384" ht="26" customHeight="1">
      <c r="A384" s="366" t="str">
        <v>U134</v>
      </c>
      <c r="B384" s="367" t="str">
        <v>۱۴۰۵/۰۵/۳۰</v>
      </c>
      <c r="C384" s="367" t="str">
        <v>۱۴۰۵/۰۵/۳۱</v>
      </c>
      <c r="D384" s="367" t="n">
        <v>1</v>
      </c>
      <c r="E384" s="367" t="str">
        <v>رفع برخورد و حفظ محدودیت دو درس</v>
      </c>
      <c r="F384" s="367" t="str">
        <v>روان‌شناسی رشد کرین</v>
      </c>
      <c r="G384" s="367" t="str">
        <v>شکست/ضعف ← ضریب ← سررسید</v>
      </c>
      <c r="H384" s="367" t="str">
        <v>معتبر/انتقال نهایی</v>
      </c>
      <c r="I384" s="367"/>
      <c r="J384" s="367"/>
      <c r="K384" s="367"/>
      <c r="L384" s="367"/>
      <c r="M384" s="368"/>
    </row>
    <row r="385" ht="26" customHeight="1">
      <c r="A385" s="345" t="str">
        <v>U134</v>
      </c>
      <c r="B385" s="346" t="str">
        <v>۱۴۰۵/۰۶/۰۵</v>
      </c>
      <c r="C385" s="346" t="str">
        <v>۱۴۰۵/۰۶/۰۴</v>
      </c>
      <c r="D385" s="346" t="n">
        <v>-1</v>
      </c>
      <c r="E385" s="346" t="str">
        <v>رفع برخورد و حفظ محدودیت دو درس</v>
      </c>
      <c r="F385" s="346" t="str">
        <v>روان‌شناسی رشد کرین</v>
      </c>
      <c r="G385" s="346" t="str">
        <v>شکست/ضعف ← ضریب ← سررسید</v>
      </c>
      <c r="H385" s="346" t="str">
        <v>معتبر/انتقال نهایی</v>
      </c>
      <c r="I385" s="346"/>
      <c r="J385" s="346"/>
      <c r="K385" s="346"/>
      <c r="L385" s="346"/>
      <c r="M385" s="347"/>
    </row>
    <row r="386" ht="26" customHeight="1">
      <c r="A386" s="366" t="str">
        <v>U134</v>
      </c>
      <c r="B386" s="367" t="str">
        <v>۱۴۰۵/۰۶/۱۲</v>
      </c>
      <c r="C386" s="367" t="str">
        <v>۱۴۰۵/۰۶/۱۱</v>
      </c>
      <c r="D386" s="367" t="n">
        <v>-1</v>
      </c>
      <c r="E386" s="367" t="str">
        <v>رفع برخورد و حفظ محدودیت دو درس</v>
      </c>
      <c r="F386" s="367" t="str">
        <v>روان‌شناسی رشد کرین</v>
      </c>
      <c r="G386" s="367" t="str">
        <v>شکست/ضعف ← ضریب ← سررسید</v>
      </c>
      <c r="H386" s="367" t="str">
        <v>معتبر/انتقال نهایی</v>
      </c>
      <c r="I386" s="367"/>
      <c r="J386" s="367"/>
      <c r="K386" s="367"/>
      <c r="L386" s="367"/>
      <c r="M386" s="368"/>
    </row>
    <row r="387" ht="26" customHeight="1">
      <c r="A387" s="345" t="str">
        <v>U135</v>
      </c>
      <c r="B387" s="346" t="str">
        <v>۱۴۰۵/۰۵/۳۰</v>
      </c>
      <c r="C387" s="346" t="str">
        <v>۱۴۰۵/۰۵/۳۱</v>
      </c>
      <c r="D387" s="346" t="n">
        <v>1</v>
      </c>
      <c r="E387" s="346" t="str">
        <v>رفع برخورد و حفظ محدودیت دو درس</v>
      </c>
      <c r="F387" s="346" t="str">
        <v>روان‌شناسی رشد کرین</v>
      </c>
      <c r="G387" s="346" t="str">
        <v>شکست/ضعف ← ضریب ← سررسید</v>
      </c>
      <c r="H387" s="346" t="str">
        <v>معتبر/انتقال نهایی</v>
      </c>
      <c r="I387" s="346"/>
      <c r="J387" s="346"/>
      <c r="K387" s="346"/>
      <c r="L387" s="346"/>
      <c r="M387" s="347"/>
    </row>
    <row r="388" ht="26" customHeight="1">
      <c r="A388" s="366" t="str">
        <v>U135</v>
      </c>
      <c r="B388" s="367" t="str">
        <v>۱۴۰۵/۰۶/۰۵</v>
      </c>
      <c r="C388" s="367" t="str">
        <v>۱۴۰۵/۰۶/۰۴</v>
      </c>
      <c r="D388" s="367" t="n">
        <v>-1</v>
      </c>
      <c r="E388" s="367" t="str">
        <v>رفع برخورد و حفظ محدودیت دو درس</v>
      </c>
      <c r="F388" s="367" t="str">
        <v>روان‌شناسی رشد کرین</v>
      </c>
      <c r="G388" s="367" t="str">
        <v>شکست/ضعف ← ضریب ← سررسید</v>
      </c>
      <c r="H388" s="367" t="str">
        <v>معتبر/انتقال نهایی</v>
      </c>
      <c r="I388" s="367"/>
      <c r="J388" s="367"/>
      <c r="K388" s="367"/>
      <c r="L388" s="367"/>
      <c r="M388" s="368"/>
    </row>
    <row r="389" ht="26" customHeight="1">
      <c r="A389" s="345" t="str">
        <v>U135</v>
      </c>
      <c r="B389" s="346" t="str">
        <v>۱۴۰۵/۰۶/۱۲</v>
      </c>
      <c r="C389" s="346" t="str">
        <v>۱۴۰۵/۰۶/۱۱</v>
      </c>
      <c r="D389" s="346" t="n">
        <v>-1</v>
      </c>
      <c r="E389" s="346" t="str">
        <v>رفع برخورد و حفظ محدودیت دو درس</v>
      </c>
      <c r="F389" s="346" t="str">
        <v>روان‌شناسی رشد کرین</v>
      </c>
      <c r="G389" s="346" t="str">
        <v>شکست/ضعف ← ضریب ← سررسید</v>
      </c>
      <c r="H389" s="346" t="str">
        <v>معتبر/انتقال نهایی</v>
      </c>
      <c r="I389" s="346"/>
      <c r="J389" s="346"/>
      <c r="K389" s="346"/>
      <c r="L389" s="346"/>
      <c r="M389" s="347"/>
    </row>
    <row r="390" ht="26" customHeight="1">
      <c r="A390" s="366" t="str">
        <v>U136</v>
      </c>
      <c r="B390" s="367" t="str">
        <v>۱۴۰۵/۰۶/۰۳</v>
      </c>
      <c r="C390" s="367" t="str">
        <v>۱۴۰۵/۰۶/۰۴</v>
      </c>
      <c r="D390" s="367" t="n">
        <v>1</v>
      </c>
      <c r="E390" s="367" t="str">
        <v>رفع برخورد و حفظ محدودیت دو درس</v>
      </c>
      <c r="F390" s="367" t="str">
        <v>روان‌شناسی رشد کرین</v>
      </c>
      <c r="G390" s="367" t="str">
        <v>شکست/ضعف ← ضریب ← سررسید</v>
      </c>
      <c r="H390" s="367" t="str">
        <v>معتبر/انتقال نهایی</v>
      </c>
      <c r="I390" s="367"/>
      <c r="J390" s="367"/>
      <c r="K390" s="367"/>
      <c r="L390" s="367"/>
      <c r="M390" s="368"/>
    </row>
    <row r="391" ht="26" customHeight="1">
      <c r="A391" s="345" t="str">
        <v>U136</v>
      </c>
      <c r="B391" s="346" t="str">
        <v>۱۴۰۵/۰۶/۲۸</v>
      </c>
      <c r="C391" s="346" t="str">
        <v>۱۴۰۵/۰۶/۲۹</v>
      </c>
      <c r="D391" s="346" t="n">
        <v>1</v>
      </c>
      <c r="E391" s="346" t="str">
        <v>رفع برخورد و حفظ محدودیت دو درس</v>
      </c>
      <c r="F391" s="346" t="str">
        <v>روان‌شناسی رشد کرین</v>
      </c>
      <c r="G391" s="346" t="str">
        <v>شکست/ضعف ← ضریب ← سررسید</v>
      </c>
      <c r="H391" s="346" t="str">
        <v>معتبر/انتقال نهایی</v>
      </c>
      <c r="I391" s="346"/>
      <c r="J391" s="346"/>
      <c r="K391" s="346"/>
      <c r="L391" s="346"/>
      <c r="M391" s="347"/>
    </row>
    <row r="392" ht="26" customHeight="1">
      <c r="A392" s="366" t="str">
        <v>U137</v>
      </c>
      <c r="B392" s="367" t="str">
        <v>۱۴۰۵/۰۶/۰۸</v>
      </c>
      <c r="C392" s="367" t="str">
        <v>۱۴۰۵/۰۶/۰۹</v>
      </c>
      <c r="D392" s="367" t="n">
        <v>1</v>
      </c>
      <c r="E392" s="367" t="str">
        <v>رفع برخورد و حفظ محدودیت دو درس</v>
      </c>
      <c r="F392" s="367" t="str">
        <v>روان‌شناسی رشد کرین</v>
      </c>
      <c r="G392" s="367" t="str">
        <v>شکست/ضعف ← ضریب ← سررسید</v>
      </c>
      <c r="H392" s="367" t="str">
        <v>معتبر/انتقال نهایی</v>
      </c>
      <c r="I392" s="367"/>
      <c r="J392" s="367"/>
      <c r="K392" s="367"/>
      <c r="L392" s="367"/>
      <c r="M392" s="368"/>
    </row>
    <row r="393" ht="26" customHeight="1">
      <c r="A393" s="345" t="str">
        <v>U137</v>
      </c>
      <c r="B393" s="346" t="str">
        <v>۱۴۰۵/۰۶/۱۵</v>
      </c>
      <c r="C393" s="346" t="str">
        <v>۱۴۰۵/۰۶/۱۶</v>
      </c>
      <c r="D393" s="346" t="n">
        <v>1</v>
      </c>
      <c r="E393" s="346" t="str">
        <v>رفع برخورد و حفظ محدودیت دو درس</v>
      </c>
      <c r="F393" s="346" t="str">
        <v>روان‌شناسی رشد کرین</v>
      </c>
      <c r="G393" s="346" t="str">
        <v>شکست/ضعف ← ضریب ← سررسید</v>
      </c>
      <c r="H393" s="346" t="str">
        <v>معتبر/انتقال نهایی</v>
      </c>
      <c r="I393" s="346"/>
      <c r="J393" s="346"/>
      <c r="K393" s="346"/>
      <c r="L393" s="346"/>
      <c r="M393" s="347"/>
    </row>
    <row r="394" ht="26" customHeight="1">
      <c r="A394" s="366" t="str">
        <v>U138</v>
      </c>
      <c r="B394" s="367" t="str">
        <v>۱۴۰۵/۰۶/۰۳</v>
      </c>
      <c r="C394" s="367" t="str">
        <v>۱۴۰۵/۰۶/۰۴</v>
      </c>
      <c r="D394" s="367" t="n">
        <v>1</v>
      </c>
      <c r="E394" s="367" t="str">
        <v>رفع برخورد و حفظ محدودیت دو درس</v>
      </c>
      <c r="F394" s="367" t="str">
        <v>روان‌شناسی رشد کرین</v>
      </c>
      <c r="G394" s="367" t="str">
        <v>شکست/ضعف ← ضریب ← سررسید</v>
      </c>
      <c r="H394" s="367" t="str">
        <v>معتبر/انتقال نهایی</v>
      </c>
      <c r="I394" s="367"/>
      <c r="J394" s="367"/>
      <c r="K394" s="367"/>
      <c r="L394" s="367"/>
      <c r="M394" s="368"/>
    </row>
    <row r="395" ht="26" customHeight="1">
      <c r="A395" s="345" t="str">
        <v>U138</v>
      </c>
      <c r="B395" s="346" t="str">
        <v>۱۴۰۵/۰۶/۰۵</v>
      </c>
      <c r="C395" s="346" t="str">
        <v>۱۴۰۵/۰۶/۰۴</v>
      </c>
      <c r="D395" s="346" t="n">
        <v>-1</v>
      </c>
      <c r="E395" s="346" t="str">
        <v>رفع برخورد و حفظ محدودیت دو درس</v>
      </c>
      <c r="F395" s="346" t="str">
        <v>روان‌شناسی رشد کرین</v>
      </c>
      <c r="G395" s="346" t="str">
        <v>شکست/ضعف ← ضریب ← سررسید</v>
      </c>
      <c r="H395" s="346" t="str">
        <v>معتبر/انتقال نهایی</v>
      </c>
      <c r="I395" s="346"/>
      <c r="J395" s="346"/>
      <c r="K395" s="346"/>
      <c r="L395" s="346"/>
      <c r="M395" s="347"/>
    </row>
    <row r="396" ht="26" customHeight="1">
      <c r="A396" s="366" t="str">
        <v>U139</v>
      </c>
      <c r="B396" s="367" t="str">
        <v>۱۴۰۵/۰۶/۰۳</v>
      </c>
      <c r="C396" s="367" t="str">
        <v>۱۴۰۵/۰۶/۰۴</v>
      </c>
      <c r="D396" s="367" t="n">
        <v>1</v>
      </c>
      <c r="E396" s="367" t="str">
        <v>رفع برخورد و حفظ محدودیت دو درس</v>
      </c>
      <c r="F396" s="367" t="str">
        <v>روان‌شناسی رشد کرین</v>
      </c>
      <c r="G396" s="367" t="str">
        <v>شکست/ضعف ← ضریب ← سررسید</v>
      </c>
      <c r="H396" s="367" t="str">
        <v>معتبر/انتقال نهایی</v>
      </c>
      <c r="I396" s="367"/>
      <c r="J396" s="367"/>
      <c r="K396" s="367"/>
      <c r="L396" s="367"/>
      <c r="M396" s="368"/>
    </row>
    <row r="397" ht="26" customHeight="1">
      <c r="A397" s="345" t="str">
        <v>U139</v>
      </c>
      <c r="B397" s="346" t="str">
        <v>۱۴۰۵/۰۶/۰۵</v>
      </c>
      <c r="C397" s="346" t="str">
        <v>۱۴۰۵/۰۶/۰۴</v>
      </c>
      <c r="D397" s="346" t="n">
        <v>-1</v>
      </c>
      <c r="E397" s="346" t="str">
        <v>رفع برخورد و حفظ محدودیت دو درس</v>
      </c>
      <c r="F397" s="346" t="str">
        <v>روان‌شناسی رشد کرین</v>
      </c>
      <c r="G397" s="346" t="str">
        <v>شکست/ضعف ← ضریب ← سررسید</v>
      </c>
      <c r="H397" s="346" t="str">
        <v>معتبر/انتقال نهایی</v>
      </c>
      <c r="I397" s="346"/>
      <c r="J397" s="346"/>
      <c r="K397" s="346"/>
      <c r="L397" s="346"/>
      <c r="M397" s="347"/>
    </row>
    <row r="398" ht="26" customHeight="1">
      <c r="A398" s="366" t="str">
        <v>U140</v>
      </c>
      <c r="B398" s="367" t="str">
        <v>۱۴۰۵/۰۶/۰۵</v>
      </c>
      <c r="C398" s="367" t="str">
        <v>۱۴۰۵/۰۶/۰۴</v>
      </c>
      <c r="D398" s="367" t="n">
        <v>-1</v>
      </c>
      <c r="E398" s="367" t="str">
        <v>رفع برخورد و حفظ محدودیت دو درس</v>
      </c>
      <c r="F398" s="367" t="str">
        <v>روان‌شناسی رشد کرین</v>
      </c>
      <c r="G398" s="367" t="str">
        <v>شکست/ضعف ← ضریب ← سررسید</v>
      </c>
      <c r="H398" s="367" t="str">
        <v>معتبر/انتقال نهایی</v>
      </c>
      <c r="I398" s="367"/>
      <c r="J398" s="367"/>
      <c r="K398" s="367"/>
      <c r="L398" s="367"/>
      <c r="M398" s="368"/>
    </row>
    <row r="399" ht="26" customHeight="1">
      <c r="A399" s="345" t="str">
        <v>U140</v>
      </c>
      <c r="B399" s="346" t="str">
        <v>۱۴۰۵/۰۷/۰۱</v>
      </c>
      <c r="C399" s="346" t="str">
        <v>۱۴۰۵/۰۷/۰۲</v>
      </c>
      <c r="D399" s="346" t="n">
        <v>1</v>
      </c>
      <c r="E399" s="346" t="str">
        <v>رفع برخورد و حفظ محدودیت دو درس</v>
      </c>
      <c r="F399" s="346" t="str">
        <v>روان‌شناسی رشد کرین</v>
      </c>
      <c r="G399" s="346" t="str">
        <v>شکست/ضعف ← ضریب ← سررسید</v>
      </c>
      <c r="H399" s="346" t="str">
        <v>معتبر/انتقال نهایی</v>
      </c>
      <c r="I399" s="346"/>
      <c r="J399" s="346"/>
      <c r="K399" s="346"/>
      <c r="L399" s="346"/>
      <c r="M399" s="347"/>
    </row>
    <row r="400" ht="26" customHeight="1">
      <c r="A400" s="366" t="str">
        <v>U141</v>
      </c>
      <c r="B400" s="367" t="str">
        <v>۱۴۰۵/۰۶/۰۸</v>
      </c>
      <c r="C400" s="367" t="str">
        <v>۱۴۰۵/۰۶/۰۹</v>
      </c>
      <c r="D400" s="367" t="n">
        <v>1</v>
      </c>
      <c r="E400" s="367" t="str">
        <v>رفع برخورد و حفظ محدودیت دو درس</v>
      </c>
      <c r="F400" s="367" t="str">
        <v>روان‌شناسی رشد کرین</v>
      </c>
      <c r="G400" s="367" t="str">
        <v>شکست/ضعف ← ضریب ← سررسید</v>
      </c>
      <c r="H400" s="367" t="str">
        <v>معتبر/انتقال نهایی</v>
      </c>
      <c r="I400" s="367"/>
      <c r="J400" s="367"/>
      <c r="K400" s="367"/>
      <c r="L400" s="367"/>
      <c r="M400" s="368"/>
    </row>
    <row r="401" ht="26" customHeight="1">
      <c r="A401" s="345" t="str">
        <v>U141</v>
      </c>
      <c r="B401" s="346" t="str">
        <v>۱۴۰۵/۰۶/۱۰</v>
      </c>
      <c r="C401" s="346" t="str">
        <v>۱۴۰۵/۰۶/۱۱</v>
      </c>
      <c r="D401" s="346" t="n">
        <v>1</v>
      </c>
      <c r="E401" s="346" t="str">
        <v>رفع برخورد و حفظ محدودیت دو درس</v>
      </c>
      <c r="F401" s="346" t="str">
        <v>روان‌شناسی رشد کرین</v>
      </c>
      <c r="G401" s="346" t="str">
        <v>شکست/ضعف ← ضریب ← سررسید</v>
      </c>
      <c r="H401" s="346" t="str">
        <v>معتبر/انتقال نهایی</v>
      </c>
      <c r="I401" s="346"/>
      <c r="J401" s="346"/>
      <c r="K401" s="346"/>
      <c r="L401" s="346"/>
      <c r="M401" s="347"/>
    </row>
    <row r="402" ht="26" customHeight="1">
      <c r="A402" s="366" t="str">
        <v>U142</v>
      </c>
      <c r="B402" s="367" t="str">
        <v>۱۴۰۵/۰۶/۰۸</v>
      </c>
      <c r="C402" s="367" t="str">
        <v>۱۴۰۵/۰۶/۰۹</v>
      </c>
      <c r="D402" s="367" t="n">
        <v>1</v>
      </c>
      <c r="E402" s="367" t="str">
        <v>رفع برخورد و حفظ محدودیت دو درس</v>
      </c>
      <c r="F402" s="367" t="str">
        <v>روان‌شناسی رشد کرین</v>
      </c>
      <c r="G402" s="367" t="str">
        <v>شکست/ضعف ← ضریب ← سررسید</v>
      </c>
      <c r="H402" s="367" t="str">
        <v>معتبر/انتقال نهایی</v>
      </c>
      <c r="I402" s="367"/>
      <c r="J402" s="367"/>
      <c r="K402" s="367"/>
      <c r="L402" s="367"/>
      <c r="M402" s="368"/>
    </row>
    <row r="403" ht="26" customHeight="1">
      <c r="A403" s="345" t="str">
        <v>U142</v>
      </c>
      <c r="B403" s="346" t="str">
        <v>۱۴۰۵/۰۶/۱۰</v>
      </c>
      <c r="C403" s="346" t="str">
        <v>۱۴۰۵/۰۶/۱۱</v>
      </c>
      <c r="D403" s="346" t="n">
        <v>1</v>
      </c>
      <c r="E403" s="346" t="str">
        <v>رفع برخورد و حفظ محدودیت دو درس</v>
      </c>
      <c r="F403" s="346" t="str">
        <v>روان‌شناسی رشد کرین</v>
      </c>
      <c r="G403" s="346" t="str">
        <v>شکست/ضعف ← ضریب ← سررسید</v>
      </c>
      <c r="H403" s="346" t="str">
        <v>معتبر/انتقال نهایی</v>
      </c>
      <c r="I403" s="346"/>
      <c r="J403" s="346"/>
      <c r="K403" s="346"/>
      <c r="L403" s="346"/>
      <c r="M403" s="347"/>
    </row>
    <row r="404" ht="26" customHeight="1">
      <c r="A404" s="366" t="str">
        <v>U143</v>
      </c>
      <c r="B404" s="367" t="str">
        <v>۱۴۰۵/۰۶/۱۰</v>
      </c>
      <c r="C404" s="367" t="str">
        <v>۱۴۰۵/۰۶/۱۱</v>
      </c>
      <c r="D404" s="367" t="n">
        <v>1</v>
      </c>
      <c r="E404" s="367" t="str">
        <v>رفع برخورد و حفظ محدودیت دو درس</v>
      </c>
      <c r="F404" s="367" t="str">
        <v>روان‌شناسی رشد کرین</v>
      </c>
      <c r="G404" s="367" t="str">
        <v>شکست/ضعف ← ضریب ← سررسید</v>
      </c>
      <c r="H404" s="367" t="str">
        <v>معتبر/انتقال نهایی</v>
      </c>
      <c r="I404" s="367"/>
      <c r="J404" s="367"/>
      <c r="K404" s="367"/>
      <c r="L404" s="367"/>
      <c r="M404" s="368"/>
    </row>
    <row r="405" ht="26" customHeight="1">
      <c r="A405" s="345" t="str">
        <v>U143</v>
      </c>
      <c r="B405" s="346" t="str">
        <v>۱۴۰۵/۰۶/۱۲</v>
      </c>
      <c r="C405" s="346" t="str">
        <v>۱۴۰۵/۰۶/۱۱</v>
      </c>
      <c r="D405" s="346" t="n">
        <v>-1</v>
      </c>
      <c r="E405" s="346" t="str">
        <v>رفع برخورد و حفظ محدودیت دو درس</v>
      </c>
      <c r="F405" s="346" t="str">
        <v>روان‌شناسی رشد کرین</v>
      </c>
      <c r="G405" s="346" t="str">
        <v>شکست/ضعف ← ضریب ← سررسید</v>
      </c>
      <c r="H405" s="346" t="str">
        <v>معتبر/انتقال نهایی</v>
      </c>
      <c r="I405" s="346"/>
      <c r="J405" s="346"/>
      <c r="K405" s="346"/>
      <c r="L405" s="346"/>
      <c r="M405" s="347"/>
    </row>
    <row r="406" ht="26" customHeight="1">
      <c r="A406" s="366" t="str">
        <v>U144</v>
      </c>
      <c r="B406" s="367" t="str">
        <v>۱۴۰۵/۰۶/۱۲</v>
      </c>
      <c r="C406" s="367" t="str">
        <v>۱۴۰۵/۰۶/۱۱</v>
      </c>
      <c r="D406" s="367" t="n">
        <v>-1</v>
      </c>
      <c r="E406" s="367" t="str">
        <v>رفع برخورد و حفظ محدودیت دو درس</v>
      </c>
      <c r="F406" s="367" t="str">
        <v>روان‌شناسی رشد کرین</v>
      </c>
      <c r="G406" s="367" t="str">
        <v>شکست/ضعف ← ضریب ← سررسید</v>
      </c>
      <c r="H406" s="367" t="str">
        <v>معتبر/انتقال نهایی</v>
      </c>
      <c r="I406" s="367"/>
      <c r="J406" s="367"/>
      <c r="K406" s="367"/>
      <c r="L406" s="367"/>
      <c r="M406" s="368"/>
    </row>
    <row r="407" ht="26" customHeight="1">
      <c r="A407" s="345" t="str">
        <v>U144</v>
      </c>
      <c r="B407" s="346" t="str">
        <v>۱۴۰۵/۰۶/۲۵</v>
      </c>
      <c r="C407" s="346" t="str">
        <v>۱۴۰۵/۰۶/۲۶</v>
      </c>
      <c r="D407" s="346" t="n">
        <v>1</v>
      </c>
      <c r="E407" s="346" t="str">
        <v>رفع برخورد و حفظ محدودیت دو درس</v>
      </c>
      <c r="F407" s="346" t="str">
        <v>روان‌شناسی رشد کرین</v>
      </c>
      <c r="G407" s="346" t="str">
        <v>شکست/ضعف ← ضریب ← سررسید</v>
      </c>
      <c r="H407" s="346" t="str">
        <v>معتبر/انتقال نهایی</v>
      </c>
      <c r="I407" s="346"/>
      <c r="J407" s="346"/>
      <c r="K407" s="346"/>
      <c r="L407" s="346"/>
      <c r="M407" s="347"/>
    </row>
    <row r="408" ht="26" customHeight="1">
      <c r="A408" s="366" t="str">
        <v>U144</v>
      </c>
      <c r="B408" s="367" t="str">
        <v>۱۴۰۵/۰۷/۰۸</v>
      </c>
      <c r="C408" s="367" t="str">
        <v>۱۴۰۵/۰۷/۰۹</v>
      </c>
      <c r="D408" s="367" t="n">
        <v>1</v>
      </c>
      <c r="E408" s="367" t="str">
        <v>رفع برخورد و حفظ محدودیت دو درس</v>
      </c>
      <c r="F408" s="367" t="str">
        <v>روان‌شناسی رشد کرین</v>
      </c>
      <c r="G408" s="367" t="str">
        <v>شکست/ضعف ← ضریب ← سررسید</v>
      </c>
      <c r="H408" s="367" t="str">
        <v>معتبر/انتقال نهایی</v>
      </c>
      <c r="I408" s="367"/>
      <c r="J408" s="367"/>
      <c r="K408" s="367"/>
      <c r="L408" s="367"/>
      <c r="M408" s="368"/>
    </row>
    <row r="409" ht="26" customHeight="1">
      <c r="A409" s="345" t="str">
        <v>U145</v>
      </c>
      <c r="B409" s="346" t="str">
        <v>۱۴۰۵/۰۶/۱۵</v>
      </c>
      <c r="C409" s="346" t="str">
        <v>۱۴۰۵/۰۶/۱۶</v>
      </c>
      <c r="D409" s="346" t="n">
        <v>1</v>
      </c>
      <c r="E409" s="346" t="str">
        <v>رفع برخورد و حفظ محدودیت دو درس</v>
      </c>
      <c r="F409" s="346" t="str">
        <v>روان‌شناسی رشد کرین</v>
      </c>
      <c r="G409" s="346" t="str">
        <v>شکست/ضعف ← ضریب ← سررسید</v>
      </c>
      <c r="H409" s="346" t="str">
        <v>معتبر/انتقال نهایی</v>
      </c>
      <c r="I409" s="346"/>
      <c r="J409" s="346"/>
      <c r="K409" s="346"/>
      <c r="L409" s="346"/>
      <c r="M409" s="347"/>
    </row>
    <row r="410" ht="26" customHeight="1">
      <c r="A410" s="366" t="str">
        <v>U145</v>
      </c>
      <c r="B410" s="367" t="str">
        <v>۱۴۰۵/۰۶/۱۷</v>
      </c>
      <c r="C410" s="367" t="str">
        <v>۱۴۰۵/۰۶/۱۸</v>
      </c>
      <c r="D410" s="367" t="n">
        <v>1</v>
      </c>
      <c r="E410" s="367" t="str">
        <v>رفع برخورد و حفظ محدودیت دو درس</v>
      </c>
      <c r="F410" s="367" t="str">
        <v>روان‌شناسی رشد کرین</v>
      </c>
      <c r="G410" s="367" t="str">
        <v>شکست/ضعف ← ضریب ← سررسید</v>
      </c>
      <c r="H410" s="367" t="str">
        <v>معتبر/انتقال نهایی</v>
      </c>
      <c r="I410" s="367"/>
      <c r="J410" s="367"/>
      <c r="K410" s="367"/>
      <c r="L410" s="367"/>
      <c r="M410" s="368"/>
    </row>
    <row r="411" ht="26" customHeight="1">
      <c r="A411" s="345" t="str">
        <v>U145</v>
      </c>
      <c r="B411" s="346" t="str">
        <v>۱۴۰۵/۰۶/۲۸</v>
      </c>
      <c r="C411" s="346" t="str">
        <v>۱۴۰۵/۰۶/۲۹</v>
      </c>
      <c r="D411" s="346" t="n">
        <v>1</v>
      </c>
      <c r="E411" s="346" t="str">
        <v>رفع برخورد و حفظ محدودیت دو درس</v>
      </c>
      <c r="F411" s="346" t="str">
        <v>روان‌شناسی رشد کرین</v>
      </c>
      <c r="G411" s="346" t="str">
        <v>شکست/ضعف ← ضریب ← سررسید</v>
      </c>
      <c r="H411" s="346" t="str">
        <v>معتبر/انتقال نهایی</v>
      </c>
      <c r="I411" s="346"/>
      <c r="J411" s="346"/>
      <c r="K411" s="346"/>
      <c r="L411" s="346"/>
      <c r="M411" s="347"/>
    </row>
    <row r="412" ht="26" customHeight="1">
      <c r="A412" s="366" t="str">
        <v>U146</v>
      </c>
      <c r="B412" s="367" t="str">
        <v>۱۴۰۵/۰۶/۱۵</v>
      </c>
      <c r="C412" s="367" t="str">
        <v>۱۴۰۵/۰۶/۱۶</v>
      </c>
      <c r="D412" s="367" t="n">
        <v>1</v>
      </c>
      <c r="E412" s="367" t="str">
        <v>رفع برخورد و حفظ محدودیت دو درس</v>
      </c>
      <c r="F412" s="367" t="str">
        <v>روان‌شناسی رشد کرین</v>
      </c>
      <c r="G412" s="367" t="str">
        <v>شکست/ضعف ← ضریب ← سررسید</v>
      </c>
      <c r="H412" s="367" t="str">
        <v>معتبر/انتقال نهایی</v>
      </c>
      <c r="I412" s="367"/>
      <c r="J412" s="367"/>
      <c r="K412" s="367"/>
      <c r="L412" s="367"/>
      <c r="M412" s="368"/>
    </row>
    <row r="413" ht="26" customHeight="1">
      <c r="A413" s="345" t="str">
        <v>U146</v>
      </c>
      <c r="B413" s="346" t="str">
        <v>۱۴۰۵/۰۶/۱۷</v>
      </c>
      <c r="C413" s="346" t="str">
        <v>۱۴۰۵/۰۶/۱۸</v>
      </c>
      <c r="D413" s="346" t="n">
        <v>1</v>
      </c>
      <c r="E413" s="346" t="str">
        <v>رفع برخورد و حفظ محدودیت دو درس</v>
      </c>
      <c r="F413" s="346" t="str">
        <v>روان‌شناسی رشد کرین</v>
      </c>
      <c r="G413" s="346" t="str">
        <v>شکست/ضعف ← ضریب ← سررسید</v>
      </c>
      <c r="H413" s="346" t="str">
        <v>معتبر/انتقال نهایی</v>
      </c>
      <c r="I413" s="346"/>
      <c r="J413" s="346"/>
      <c r="K413" s="346"/>
      <c r="L413" s="346"/>
      <c r="M413" s="347"/>
    </row>
    <row r="414" ht="26" customHeight="1">
      <c r="A414" s="366" t="str">
        <v>U146</v>
      </c>
      <c r="B414" s="367" t="str">
        <v>۱۴۰۵/۰۶/۲۸</v>
      </c>
      <c r="C414" s="367" t="str">
        <v>۱۴۰۵/۰۶/۲۹</v>
      </c>
      <c r="D414" s="367" t="n">
        <v>1</v>
      </c>
      <c r="E414" s="367" t="str">
        <v>رفع برخورد و حفظ محدودیت دو درس</v>
      </c>
      <c r="F414" s="367" t="str">
        <v>روان‌شناسی رشد کرین</v>
      </c>
      <c r="G414" s="367" t="str">
        <v>شکست/ضعف ← ضریب ← سررسید</v>
      </c>
      <c r="H414" s="367" t="str">
        <v>معتبر/انتقال نهایی</v>
      </c>
      <c r="I414" s="367"/>
      <c r="J414" s="367"/>
      <c r="K414" s="367"/>
      <c r="L414" s="367"/>
      <c r="M414" s="368"/>
    </row>
    <row r="415" ht="26" customHeight="1">
      <c r="A415" s="345" t="str">
        <v>U147</v>
      </c>
      <c r="B415" s="346" t="str">
        <v>۱۴۰۵/۰۶/۱۷</v>
      </c>
      <c r="C415" s="346" t="str">
        <v>۱۴۰۵/۰۶/۱۸</v>
      </c>
      <c r="D415" s="346" t="n">
        <v>1</v>
      </c>
      <c r="E415" s="346" t="str">
        <v>رفع برخورد و حفظ محدودیت دو درس</v>
      </c>
      <c r="F415" s="346" t="str">
        <v>روان‌شناسی رشد کرین</v>
      </c>
      <c r="G415" s="346" t="str">
        <v>شکست/ضعف ← ضریب ← سررسید</v>
      </c>
      <c r="H415" s="346" t="str">
        <v>معتبر/انتقال نهایی</v>
      </c>
      <c r="I415" s="346"/>
      <c r="J415" s="346"/>
      <c r="K415" s="346"/>
      <c r="L415" s="346"/>
      <c r="M415" s="347"/>
    </row>
    <row r="416" ht="26" customHeight="1">
      <c r="A416" s="366" t="str">
        <v>U147</v>
      </c>
      <c r="B416" s="367" t="str">
        <v>۱۴۰۵/۰۶/۱۹</v>
      </c>
      <c r="C416" s="367" t="str">
        <v>۱۴۰۵/۰۶/۱۸</v>
      </c>
      <c r="D416" s="367" t="n">
        <v>-1</v>
      </c>
      <c r="E416" s="367" t="str">
        <v>رفع برخورد و حفظ محدودیت دو درس</v>
      </c>
      <c r="F416" s="367" t="str">
        <v>روان‌شناسی رشد کرین</v>
      </c>
      <c r="G416" s="367" t="str">
        <v>شکست/ضعف ← ضریب ← سررسید</v>
      </c>
      <c r="H416" s="367" t="str">
        <v>معتبر/انتقال نهایی</v>
      </c>
      <c r="I416" s="367"/>
      <c r="J416" s="367"/>
      <c r="K416" s="367"/>
      <c r="L416" s="367"/>
      <c r="M416" s="368"/>
    </row>
    <row r="417" ht="26" customHeight="1">
      <c r="A417" s="345" t="str">
        <v>U148</v>
      </c>
      <c r="B417" s="346" t="str">
        <v>۱۴۰۵/۰۶/۱۷</v>
      </c>
      <c r="C417" s="346" t="str">
        <v>۱۴۰۵/۰۶/۱۸</v>
      </c>
      <c r="D417" s="346" t="n">
        <v>1</v>
      </c>
      <c r="E417" s="346" t="str">
        <v>رفع برخورد و حفظ محدودیت دو درس</v>
      </c>
      <c r="F417" s="346" t="str">
        <v>روان‌شناسی رشد کرین</v>
      </c>
      <c r="G417" s="346" t="str">
        <v>شکست/ضعف ← ضریب ← سررسید</v>
      </c>
      <c r="H417" s="346" t="str">
        <v>معتبر/انتقال نهایی</v>
      </c>
      <c r="I417" s="346"/>
      <c r="J417" s="346"/>
      <c r="K417" s="346"/>
      <c r="L417" s="346"/>
      <c r="M417" s="347"/>
    </row>
    <row r="418" ht="26" customHeight="1">
      <c r="A418" s="366" t="str">
        <v>U148</v>
      </c>
      <c r="B418" s="367" t="str">
        <v>۱۴۰۵/۰۶/۱۹</v>
      </c>
      <c r="C418" s="367" t="str">
        <v>۱۴۰۵/۰۶/۱۸</v>
      </c>
      <c r="D418" s="367" t="n">
        <v>-1</v>
      </c>
      <c r="E418" s="367" t="str">
        <v>رفع برخورد و حفظ محدودیت دو درس</v>
      </c>
      <c r="F418" s="367" t="str">
        <v>روان‌شناسی رشد کرین</v>
      </c>
      <c r="G418" s="367" t="str">
        <v>شکست/ضعف ← ضریب ← سررسید</v>
      </c>
      <c r="H418" s="367" t="str">
        <v>معتبر/انتقال نهایی</v>
      </c>
      <c r="I418" s="367"/>
      <c r="J418" s="367"/>
      <c r="K418" s="367"/>
      <c r="L418" s="367"/>
      <c r="M418" s="368"/>
    </row>
    <row r="419" ht="26" customHeight="1">
      <c r="A419" s="345" t="str">
        <v>U149</v>
      </c>
      <c r="B419" s="346" t="str">
        <v>۱۴۰۵/۰۶/۱۹</v>
      </c>
      <c r="C419" s="346" t="str">
        <v>۱۴۰۵/۰۶/۱۸</v>
      </c>
      <c r="D419" s="346" t="n">
        <v>-1</v>
      </c>
      <c r="E419" s="346" t="str">
        <v>رفع برخورد و حفظ محدودیت دو درس</v>
      </c>
      <c r="F419" s="346" t="str">
        <v>روان‌شناسی رشد کرین</v>
      </c>
      <c r="G419" s="346" t="str">
        <v>شکست/ضعف ← ضریب ← سررسید</v>
      </c>
      <c r="H419" s="346" t="str">
        <v>معتبر/انتقال نهایی</v>
      </c>
      <c r="I419" s="346"/>
      <c r="J419" s="346"/>
      <c r="K419" s="346"/>
      <c r="L419" s="346"/>
      <c r="M419" s="347"/>
    </row>
    <row r="420" ht="26" customHeight="1">
      <c r="A420" s="366" t="str">
        <v>U149</v>
      </c>
      <c r="B420" s="367" t="str">
        <v>۱۴۰۵/۰۶/۲۵</v>
      </c>
      <c r="C420" s="367" t="str">
        <v>۱۴۰۵/۰۶/۲۶</v>
      </c>
      <c r="D420" s="367" t="n">
        <v>1</v>
      </c>
      <c r="E420" s="367" t="str">
        <v>رفع برخورد و حفظ محدودیت دو درس</v>
      </c>
      <c r="F420" s="367" t="str">
        <v>روان‌شناسی رشد کرین</v>
      </c>
      <c r="G420" s="367" t="str">
        <v>شکست/ضعف ← ضریب ← سررسید</v>
      </c>
      <c r="H420" s="367" t="str">
        <v>معتبر/انتقال نهایی</v>
      </c>
      <c r="I420" s="367"/>
      <c r="J420" s="367"/>
      <c r="K420" s="367"/>
      <c r="L420" s="367"/>
      <c r="M420" s="368"/>
    </row>
    <row r="421" ht="26" customHeight="1">
      <c r="A421" s="345" t="str">
        <v>U149</v>
      </c>
      <c r="B421" s="346" t="str">
        <v>۱۴۰۵/۰۷/۰۱</v>
      </c>
      <c r="C421" s="346" t="str">
        <v>۱۴۰۵/۰۷/۰۲</v>
      </c>
      <c r="D421" s="346" t="n">
        <v>1</v>
      </c>
      <c r="E421" s="346" t="str">
        <v>رفع برخورد و حفظ محدودیت دو درس</v>
      </c>
      <c r="F421" s="346" t="str">
        <v>روان‌شناسی رشد کرین</v>
      </c>
      <c r="G421" s="346" t="str">
        <v>شکست/ضعف ← ضریب ← سررسید</v>
      </c>
      <c r="H421" s="346" t="str">
        <v>معتبر/انتقال نهایی</v>
      </c>
      <c r="I421" s="346"/>
      <c r="J421" s="346"/>
      <c r="K421" s="346"/>
      <c r="L421" s="346"/>
      <c r="M421" s="347"/>
    </row>
    <row r="422" ht="26" customHeight="1">
      <c r="A422" s="366" t="str">
        <v>U149</v>
      </c>
      <c r="B422" s="367" t="str">
        <v>۱۴۰۵/۰۷/۱۵</v>
      </c>
      <c r="C422" s="367" t="str">
        <v>۱۴۰۵/۰۷/۱۶</v>
      </c>
      <c r="D422" s="367" t="n">
        <v>1</v>
      </c>
      <c r="E422" s="367" t="str">
        <v>رفع برخورد و حفظ محدودیت دو درس</v>
      </c>
      <c r="F422" s="367" t="str">
        <v>روان‌شناسی رشد کرین</v>
      </c>
      <c r="G422" s="367" t="str">
        <v>شکست/ضعف ← ضریب ← سررسید</v>
      </c>
      <c r="H422" s="367" t="str">
        <v>معتبر/انتقال نهایی</v>
      </c>
      <c r="I422" s="367"/>
      <c r="J422" s="367"/>
      <c r="K422" s="367"/>
      <c r="L422" s="367"/>
      <c r="M422" s="368"/>
    </row>
    <row r="423" ht="26" customHeight="1">
      <c r="A423" s="345" t="str">
        <v>U150</v>
      </c>
      <c r="B423" s="346" t="str">
        <v>۱۴۰۵/۰۶/۲۲</v>
      </c>
      <c r="C423" s="346" t="str">
        <v>۱۴۰۵/۰۶/۲۳</v>
      </c>
      <c r="D423" s="346" t="n">
        <v>1</v>
      </c>
      <c r="E423" s="346" t="str">
        <v>رفع برخورد و حفظ محدودیت دو درس</v>
      </c>
      <c r="F423" s="346" t="str">
        <v>روان‌شناسی رشد کرین</v>
      </c>
      <c r="G423" s="346" t="str">
        <v>شکست/ضعف ← ضریب ← سررسید</v>
      </c>
      <c r="H423" s="346" t="str">
        <v>معتبر/انتقال نهایی</v>
      </c>
      <c r="I423" s="346"/>
      <c r="J423" s="346"/>
      <c r="K423" s="346"/>
      <c r="L423" s="346"/>
      <c r="M423" s="347"/>
    </row>
    <row r="424" ht="26" customHeight="1">
      <c r="A424" s="366" t="str">
        <v>U150</v>
      </c>
      <c r="B424" s="367" t="str">
        <v>۱۴۰۵/۰۶/۲۸</v>
      </c>
      <c r="C424" s="367" t="str">
        <v>۱۴۰۵/۰۶/۲۹</v>
      </c>
      <c r="D424" s="367" t="n">
        <v>1</v>
      </c>
      <c r="E424" s="367" t="str">
        <v>رفع برخورد و حفظ محدودیت دو درس</v>
      </c>
      <c r="F424" s="367" t="str">
        <v>روان‌شناسی رشد کرین</v>
      </c>
      <c r="G424" s="367" t="str">
        <v>شکست/ضعف ← ضریب ← سررسید</v>
      </c>
      <c r="H424" s="367" t="str">
        <v>معتبر/انتقال نهایی</v>
      </c>
      <c r="I424" s="367"/>
      <c r="J424" s="367"/>
      <c r="K424" s="367"/>
      <c r="L424" s="367"/>
      <c r="M424" s="368"/>
    </row>
    <row r="425" ht="26" customHeight="1">
      <c r="A425" s="345" t="str">
        <v>U151</v>
      </c>
      <c r="B425" s="346" t="str">
        <v>۱۴۰۵/۰۶/۲۲</v>
      </c>
      <c r="C425" s="346" t="str">
        <v>۱۴۰۵/۰۶/۲۳</v>
      </c>
      <c r="D425" s="346" t="n">
        <v>1</v>
      </c>
      <c r="E425" s="346" t="str">
        <v>رفع برخورد و حفظ محدودیت دو درس</v>
      </c>
      <c r="F425" s="346" t="str">
        <v>روان‌شناسی رشد کرین</v>
      </c>
      <c r="G425" s="346" t="str">
        <v>شکست/ضعف ← ضریب ← سررسید</v>
      </c>
      <c r="H425" s="346" t="str">
        <v>معتبر/انتقال نهایی</v>
      </c>
      <c r="I425" s="346"/>
      <c r="J425" s="346"/>
      <c r="K425" s="346"/>
      <c r="L425" s="346"/>
      <c r="M425" s="347"/>
    </row>
    <row r="426" ht="26" customHeight="1">
      <c r="A426" s="366" t="str">
        <v>U151</v>
      </c>
      <c r="B426" s="367" t="str">
        <v>۱۴۰۵/۰۶/۲۸</v>
      </c>
      <c r="C426" s="367" t="str">
        <v>۱۴۰۵/۰۶/۲۹</v>
      </c>
      <c r="D426" s="367" t="n">
        <v>1</v>
      </c>
      <c r="E426" s="367" t="str">
        <v>رفع برخورد و حفظ محدودیت دو درس</v>
      </c>
      <c r="F426" s="367" t="str">
        <v>روان‌شناسی رشد کرین</v>
      </c>
      <c r="G426" s="367" t="str">
        <v>شکست/ضعف ← ضریب ← سررسید</v>
      </c>
      <c r="H426" s="367" t="str">
        <v>معتبر/انتقال نهایی</v>
      </c>
      <c r="I426" s="367"/>
      <c r="J426" s="367"/>
      <c r="K426" s="367"/>
      <c r="L426" s="367"/>
      <c r="M426" s="368"/>
    </row>
    <row r="427" ht="26" customHeight="1">
      <c r="A427" s="345" t="str">
        <v>U153</v>
      </c>
      <c r="B427" s="346" t="str">
        <v>۱۴۰۵/۰۶/۲۵</v>
      </c>
      <c r="C427" s="346" t="str">
        <v>۱۴۰۵/۰۶/۲۶</v>
      </c>
      <c r="D427" s="346" t="n">
        <v>1</v>
      </c>
      <c r="E427" s="346" t="str">
        <v>رفع برخورد و حفظ محدودیت دو درس</v>
      </c>
      <c r="F427" s="346" t="str">
        <v>روان‌شناسی رشد کرین</v>
      </c>
      <c r="G427" s="346" t="str">
        <v>شکست/ضعف ← ضریب ← سررسید</v>
      </c>
      <c r="H427" s="346" t="str">
        <v>معتبر/انتقال نهایی</v>
      </c>
      <c r="I427" s="346"/>
      <c r="J427" s="346"/>
      <c r="K427" s="346"/>
      <c r="L427" s="346"/>
      <c r="M427" s="347"/>
    </row>
    <row r="428" ht="26" customHeight="1">
      <c r="A428" s="366" t="str">
        <v>U154</v>
      </c>
      <c r="B428" s="367" t="str">
        <v>۱۴۰۵/۰۶/۲۵</v>
      </c>
      <c r="C428" s="367" t="str">
        <v>۱۴۰۵/۰۶/۲۶</v>
      </c>
      <c r="D428" s="367" t="n">
        <v>1</v>
      </c>
      <c r="E428" s="367" t="str">
        <v>رفع برخورد و حفظ محدودیت دو درس</v>
      </c>
      <c r="F428" s="367" t="str">
        <v>روان‌شناسی رشد کرین</v>
      </c>
      <c r="G428" s="367" t="str">
        <v>شکست/ضعف ← ضریب ← سررسید</v>
      </c>
      <c r="H428" s="367" t="str">
        <v>معتبر/انتقال نهایی</v>
      </c>
      <c r="I428" s="367"/>
      <c r="J428" s="367"/>
      <c r="K428" s="367"/>
      <c r="L428" s="367"/>
      <c r="M428" s="368"/>
    </row>
    <row r="429" ht="26" customHeight="1">
      <c r="A429" s="345" t="str">
        <v>U155</v>
      </c>
      <c r="B429" s="346" t="str">
        <v>۱۴۰۵/۰۷/۲۳</v>
      </c>
      <c r="C429" s="346" t="str">
        <v>۱۴۰۵/۰۷/۲۵</v>
      </c>
      <c r="D429" s="346" t="n">
        <v>2</v>
      </c>
      <c r="E429" s="346" t="str">
        <v>کمبود مواجهه همان درس؛ جابه‌جایی صریح</v>
      </c>
      <c r="F429" s="346" t="str">
        <v>روان‌شناسی رشد کرین</v>
      </c>
      <c r="G429" s="346" t="str">
        <v>شکست/ضعف ← ضریب ← سررسید</v>
      </c>
      <c r="H429" s="346" t="str">
        <v>پرچم‌گذاری‌شده</v>
      </c>
      <c r="I429" s="346"/>
      <c r="J429" s="346"/>
      <c r="K429" s="346"/>
      <c r="L429" s="346"/>
      <c r="M429" s="347"/>
    </row>
    <row r="430" ht="26" customHeight="1">
      <c r="A430" s="366" t="str">
        <v>U156</v>
      </c>
      <c r="B430" s="367" t="str">
        <v>۱۴۰۵/۰۶/۲۸</v>
      </c>
      <c r="C430" s="367" t="str">
        <v>۱۴۰۵/۰۶/۲۹</v>
      </c>
      <c r="D430" s="367" t="n">
        <v>1</v>
      </c>
      <c r="E430" s="367" t="str">
        <v>رفع برخورد و حفظ محدودیت دو درس</v>
      </c>
      <c r="F430" s="367" t="str">
        <v>روان‌شناسی رشد کرین</v>
      </c>
      <c r="G430" s="367" t="str">
        <v>شکست/ضعف ← ضریب ← سررسید</v>
      </c>
      <c r="H430" s="367" t="str">
        <v>معتبر/انتقال نهایی</v>
      </c>
      <c r="I430" s="367"/>
      <c r="J430" s="367"/>
      <c r="K430" s="367"/>
      <c r="L430" s="367"/>
      <c r="M430" s="368"/>
    </row>
    <row r="431" ht="26" customHeight="1">
      <c r="A431" s="345" t="str">
        <v>U156</v>
      </c>
      <c r="B431" s="346" t="str">
        <v>۱۴۰۵/۰۷/۰۳</v>
      </c>
      <c r="C431" s="346" t="str">
        <v>۱۴۰۵/۰۷/۰۴</v>
      </c>
      <c r="D431" s="346" t="n">
        <v>1</v>
      </c>
      <c r="E431" s="346" t="str">
        <v>رفع برخورد و حفظ محدودیت دو درس</v>
      </c>
      <c r="F431" s="346" t="str">
        <v>روان‌شناسی رشد کرین</v>
      </c>
      <c r="G431" s="346" t="str">
        <v>شکست/ضعف ← ضریب ← سررسید</v>
      </c>
      <c r="H431" s="346" t="str">
        <v>معتبر/انتقال نهایی</v>
      </c>
      <c r="I431" s="346"/>
      <c r="J431" s="346"/>
      <c r="K431" s="346"/>
      <c r="L431" s="346"/>
      <c r="M431" s="347"/>
    </row>
    <row r="432" ht="26" customHeight="1">
      <c r="A432" s="366" t="str">
        <v>U156</v>
      </c>
      <c r="B432" s="367" t="str">
        <v>۱۴۰۵/۰۷/۱۰</v>
      </c>
      <c r="C432" s="367" t="str">
        <v>۱۴۰۵/۰۷/۱۱</v>
      </c>
      <c r="D432" s="367" t="n">
        <v>1</v>
      </c>
      <c r="E432" s="367" t="str">
        <v>رفع برخورد و حفظ محدودیت دو درس</v>
      </c>
      <c r="F432" s="367" t="str">
        <v>روان‌شناسی رشد کرین</v>
      </c>
      <c r="G432" s="367" t="str">
        <v>شکست/ضعف ← ضریب ← سررسید</v>
      </c>
      <c r="H432" s="367" t="str">
        <v>معتبر/انتقال نهایی</v>
      </c>
      <c r="I432" s="367"/>
      <c r="J432" s="367"/>
      <c r="K432" s="367"/>
      <c r="L432" s="367"/>
      <c r="M432" s="368"/>
    </row>
    <row r="433" ht="26" customHeight="1">
      <c r="A433" s="345" t="str">
        <v>U156</v>
      </c>
      <c r="B433" s="346" t="str">
        <v>۱۴۰۵/۰۷/۲۴</v>
      </c>
      <c r="C433" s="346" t="str">
        <v>۱۴۰۵/۰۷/۲۵</v>
      </c>
      <c r="D433" s="346" t="n">
        <v>1</v>
      </c>
      <c r="E433" s="346" t="str">
        <v>رفع برخورد و حفظ محدودیت دو درس</v>
      </c>
      <c r="F433" s="346" t="str">
        <v>روان‌شناسی رشد کرین</v>
      </c>
      <c r="G433" s="346" t="str">
        <v>شکست/ضعف ← ضریب ← سررسید</v>
      </c>
      <c r="H433" s="346" t="str">
        <v>معتبر/انتقال نهایی</v>
      </c>
      <c r="I433" s="346"/>
      <c r="J433" s="346"/>
      <c r="K433" s="346"/>
      <c r="L433" s="346"/>
      <c r="M433" s="347"/>
    </row>
    <row r="434" ht="26" customHeight="1">
      <c r="A434" s="366" t="str">
        <v>U157</v>
      </c>
      <c r="B434" s="367" t="str">
        <v>۱۴۰۵/۰۷/۰۱</v>
      </c>
      <c r="C434" s="367" t="str">
        <v>۱۴۰۵/۰۷/۰۲</v>
      </c>
      <c r="D434" s="367" t="n">
        <v>1</v>
      </c>
      <c r="E434" s="367" t="str">
        <v>رفع برخورد و حفظ محدودیت دو درس</v>
      </c>
      <c r="F434" s="367" t="str">
        <v>روان‌شناسی رشد کرین</v>
      </c>
      <c r="G434" s="367" t="str">
        <v>شکست/ضعف ← ضریب ← سررسید</v>
      </c>
      <c r="H434" s="367" t="str">
        <v>معتبر/انتقال نهایی</v>
      </c>
      <c r="I434" s="367"/>
      <c r="J434" s="367"/>
      <c r="K434" s="367"/>
      <c r="L434" s="367"/>
      <c r="M434" s="368"/>
    </row>
    <row r="435" ht="26" customHeight="1">
      <c r="A435" s="345" t="str">
        <v>U158</v>
      </c>
      <c r="B435" s="346" t="str">
        <v>۱۴۰۵/۰۷/۲۷</v>
      </c>
      <c r="C435" s="346" t="str">
        <v>۱۴۰۵/۰۷/۲۸</v>
      </c>
      <c r="D435" s="346" t="n">
        <v>1</v>
      </c>
      <c r="E435" s="346" t="str">
        <v>رفع برخورد و حفظ محدودیت دو درس</v>
      </c>
      <c r="F435" s="346" t="str">
        <v>روان‌شناسی رشد کرین</v>
      </c>
      <c r="G435" s="346" t="str">
        <v>شکست/ضعف ← ضریب ← سررسید</v>
      </c>
      <c r="H435" s="346" t="str">
        <v>معتبر/انتقال نهایی</v>
      </c>
      <c r="I435" s="346"/>
      <c r="J435" s="346"/>
      <c r="K435" s="346"/>
      <c r="L435" s="346"/>
      <c r="M435" s="347"/>
    </row>
    <row r="436" ht="26" customHeight="1">
      <c r="A436" s="366" t="str">
        <v>U159</v>
      </c>
      <c r="B436" s="367" t="str">
        <v>۱۴۰۵/۰۷/۰۱</v>
      </c>
      <c r="C436" s="367" t="str">
        <v>۱۴۰۵/۰۷/۰۲</v>
      </c>
      <c r="D436" s="367" t="n">
        <v>1</v>
      </c>
      <c r="E436" s="367" t="str">
        <v>رفع برخورد و حفظ محدودیت دو درس</v>
      </c>
      <c r="F436" s="367" t="str">
        <v>روان‌شناسی رشد کرین</v>
      </c>
      <c r="G436" s="367" t="str">
        <v>شکست/ضعف ← ضریب ← سررسید</v>
      </c>
      <c r="H436" s="367" t="str">
        <v>معتبر/انتقال نهایی</v>
      </c>
      <c r="I436" s="367"/>
      <c r="J436" s="367"/>
      <c r="K436" s="367"/>
      <c r="L436" s="367"/>
      <c r="M436" s="368"/>
    </row>
    <row r="437" ht="26" customHeight="1">
      <c r="A437" s="345" t="str">
        <v>U159</v>
      </c>
      <c r="B437" s="346" t="str">
        <v>۱۴۰۵/۰۷/۰۳</v>
      </c>
      <c r="C437" s="346" t="str">
        <v>۱۴۰۵/۰۷/۰۴</v>
      </c>
      <c r="D437" s="346" t="n">
        <v>1</v>
      </c>
      <c r="E437" s="346" t="str">
        <v>رفع برخورد و حفظ محدودیت دو درس</v>
      </c>
      <c r="F437" s="346" t="str">
        <v>روان‌شناسی رشد کرین</v>
      </c>
      <c r="G437" s="346" t="str">
        <v>شکست/ضعف ← ضریب ← سررسید</v>
      </c>
      <c r="H437" s="346" t="str">
        <v>معتبر/انتقال نهایی</v>
      </c>
      <c r="I437" s="346"/>
      <c r="J437" s="346"/>
      <c r="K437" s="346"/>
      <c r="L437" s="346"/>
      <c r="M437" s="347"/>
    </row>
    <row r="438" ht="26" customHeight="1">
      <c r="A438" s="366" t="str">
        <v>U160</v>
      </c>
      <c r="B438" s="367" t="str">
        <v>۱۴۰۵/۰۷/۰۱</v>
      </c>
      <c r="C438" s="367" t="str">
        <v>۱۴۰۵/۰۷/۰۲</v>
      </c>
      <c r="D438" s="367" t="n">
        <v>1</v>
      </c>
      <c r="E438" s="367" t="str">
        <v>رفع برخورد و حفظ محدودیت دو درس</v>
      </c>
      <c r="F438" s="367" t="str">
        <v>روان‌شناسی رشد کرین</v>
      </c>
      <c r="G438" s="367" t="str">
        <v>شکست/ضعف ← ضریب ← سررسید</v>
      </c>
      <c r="H438" s="367" t="str">
        <v>معتبر/انتقال نهایی</v>
      </c>
      <c r="I438" s="367"/>
      <c r="J438" s="367"/>
      <c r="K438" s="367"/>
      <c r="L438" s="367"/>
      <c r="M438" s="368"/>
    </row>
    <row r="439" ht="26" customHeight="1">
      <c r="A439" s="345" t="str">
        <v>U160</v>
      </c>
      <c r="B439" s="346" t="str">
        <v>۱۴۰۵/۰۷/۰۳</v>
      </c>
      <c r="C439" s="346" t="str">
        <v>۱۴۰۵/۰۷/۰۴</v>
      </c>
      <c r="D439" s="346" t="n">
        <v>1</v>
      </c>
      <c r="E439" s="346" t="str">
        <v>رفع برخورد و حفظ محدودیت دو درس</v>
      </c>
      <c r="F439" s="346" t="str">
        <v>روان‌شناسی رشد کرین</v>
      </c>
      <c r="G439" s="346" t="str">
        <v>شکست/ضعف ← ضریب ← سررسید</v>
      </c>
      <c r="H439" s="346" t="str">
        <v>معتبر/انتقال نهایی</v>
      </c>
      <c r="I439" s="346"/>
      <c r="J439" s="346"/>
      <c r="K439" s="346"/>
      <c r="L439" s="346"/>
      <c r="M439" s="347"/>
    </row>
    <row r="440" ht="26" customHeight="1">
      <c r="A440" s="366" t="str">
        <v>U161</v>
      </c>
      <c r="B440" s="367" t="str">
        <v>۱۴۰۵/۰۷/۰۳</v>
      </c>
      <c r="C440" s="367" t="str">
        <v>۱۴۰۵/۰۷/۰۴</v>
      </c>
      <c r="D440" s="367" t="n">
        <v>1</v>
      </c>
      <c r="E440" s="367" t="str">
        <v>رفع برخورد و حفظ محدودیت دو درس</v>
      </c>
      <c r="F440" s="367" t="str">
        <v>روان‌شناسی رشد کرین</v>
      </c>
      <c r="G440" s="367" t="str">
        <v>شکست/ضعف ← ضریب ← سررسید</v>
      </c>
      <c r="H440" s="367" t="str">
        <v>معتبر/انتقال نهایی</v>
      </c>
      <c r="I440" s="367"/>
      <c r="J440" s="367"/>
      <c r="K440" s="367"/>
      <c r="L440" s="367"/>
      <c r="M440" s="368"/>
    </row>
    <row r="441" ht="26" customHeight="1">
      <c r="A441" s="345" t="str">
        <v>U161</v>
      </c>
      <c r="B441" s="346" t="str">
        <v>۱۴۰۵/۰۷/۳۰</v>
      </c>
      <c r="C441" s="346" t="str">
        <v>۱۴۰۵/۰۷/۲۹</v>
      </c>
      <c r="D441" s="346" t="n">
        <v>-1</v>
      </c>
      <c r="E441" s="346" t="str">
        <v>رفع برخورد و حفظ محدودیت دو درس</v>
      </c>
      <c r="F441" s="346" t="str">
        <v>روان‌شناسی رشد کرین</v>
      </c>
      <c r="G441" s="346" t="str">
        <v>شکست/ضعف ← ضریب ← سررسید</v>
      </c>
      <c r="H441" s="346" t="str">
        <v>معتبر/انتقال نهایی</v>
      </c>
      <c r="I441" s="346"/>
      <c r="J441" s="346"/>
      <c r="K441" s="346"/>
      <c r="L441" s="346"/>
      <c r="M441" s="347"/>
    </row>
    <row r="442" ht="26" customHeight="1">
      <c r="A442" s="366" t="str">
        <v>U162</v>
      </c>
      <c r="B442" s="367" t="str">
        <v>پس از مهلت</v>
      </c>
      <c r="C442" s="367" t="str">
        <v>۱۴۰۵/۰۷/۲۹</v>
      </c>
      <c r="D442" s="367" t="n">
        <v>-3</v>
      </c>
      <c r="E442" s="367" t="str">
        <v>انتقال به تثبیت نهایی؛ تاریخ پایه پس از مهلت</v>
      </c>
      <c r="F442" s="367" t="str">
        <v>روان‌شناسی رشد کرین</v>
      </c>
      <c r="G442" s="367" t="str">
        <v>شکست/ضعف ← ضریب ← سررسید</v>
      </c>
      <c r="H442" s="367" t="str">
        <v>معتبر/انتقال نهایی</v>
      </c>
      <c r="I442" s="367"/>
      <c r="J442" s="367"/>
      <c r="K442" s="367"/>
      <c r="L442" s="367"/>
      <c r="M442" s="368"/>
    </row>
    <row r="443" ht="26" customHeight="1">
      <c r="A443" s="345" t="str">
        <v>U163</v>
      </c>
      <c r="B443" s="346" t="str">
        <v>۱۴۰۵/۰۷/۰۸</v>
      </c>
      <c r="C443" s="346" t="str">
        <v>۱۴۰۵/۰۷/۰۹</v>
      </c>
      <c r="D443" s="346" t="n">
        <v>1</v>
      </c>
      <c r="E443" s="346" t="str">
        <v>رفع برخورد و حفظ محدودیت دو درس</v>
      </c>
      <c r="F443" s="346" t="str">
        <v>روان‌شناسی رشد کرین</v>
      </c>
      <c r="G443" s="346" t="str">
        <v>شکست/ضعف ← ضریب ← سررسید</v>
      </c>
      <c r="H443" s="346" t="str">
        <v>معتبر/انتقال نهایی</v>
      </c>
      <c r="I443" s="346"/>
      <c r="J443" s="346"/>
      <c r="K443" s="346"/>
      <c r="L443" s="346"/>
      <c r="M443" s="347"/>
    </row>
    <row r="444" ht="26" customHeight="1">
      <c r="A444" s="366" t="str">
        <v>U163</v>
      </c>
      <c r="B444" s="367" t="str">
        <v>پس از مهلت</v>
      </c>
      <c r="C444" s="367" t="str">
        <v>۱۴۰۵/۰۷/۲۹</v>
      </c>
      <c r="D444" s="367" t="n">
        <v>-4</v>
      </c>
      <c r="E444" s="367" t="str">
        <v>انتقال به تثبیت نهایی؛ تاریخ پایه پس از مهلت</v>
      </c>
      <c r="F444" s="367" t="str">
        <v>روان‌شناسی رشد کرین</v>
      </c>
      <c r="G444" s="367" t="str">
        <v>شکست/ضعف ← ضریب ← سررسید</v>
      </c>
      <c r="H444" s="367" t="str">
        <v>معتبر/انتقال نهایی</v>
      </c>
      <c r="I444" s="367"/>
      <c r="J444" s="367"/>
      <c r="K444" s="367"/>
      <c r="L444" s="367"/>
      <c r="M444" s="368"/>
    </row>
    <row r="445" ht="26" customHeight="1">
      <c r="A445" s="345" t="str">
        <v>U164</v>
      </c>
      <c r="B445" s="346" t="str">
        <v>۱۴۰۵/۰۷/۰۸</v>
      </c>
      <c r="C445" s="346" t="str">
        <v>۱۴۰۵/۰۷/۰۹</v>
      </c>
      <c r="D445" s="346" t="n">
        <v>1</v>
      </c>
      <c r="E445" s="346" t="str">
        <v>رفع برخورد و حفظ محدودیت دو درس</v>
      </c>
      <c r="F445" s="346" t="str">
        <v>روان‌شناسی رشد کرین</v>
      </c>
      <c r="G445" s="346" t="str">
        <v>شکست/ضعف ← ضریب ← سررسید</v>
      </c>
      <c r="H445" s="346" t="str">
        <v>معتبر/انتقال نهایی</v>
      </c>
      <c r="I445" s="346"/>
      <c r="J445" s="346"/>
      <c r="K445" s="346"/>
      <c r="L445" s="346"/>
      <c r="M445" s="347"/>
    </row>
    <row r="446" ht="26" customHeight="1">
      <c r="A446" s="366" t="str">
        <v>U164</v>
      </c>
      <c r="B446" s="367" t="str">
        <v>پس از مهلت</v>
      </c>
      <c r="C446" s="367" t="str">
        <v>۱۴۰۵/۰۷/۲۹</v>
      </c>
      <c r="D446" s="367" t="n">
        <v>-4</v>
      </c>
      <c r="E446" s="367" t="str">
        <v>انتقال به تثبیت نهایی؛ تاریخ پایه پس از مهلت</v>
      </c>
      <c r="F446" s="367" t="str">
        <v>روان‌شناسی رشد کرین</v>
      </c>
      <c r="G446" s="367" t="str">
        <v>شکست/ضعف ← ضریب ← سررسید</v>
      </c>
      <c r="H446" s="367" t="str">
        <v>معتبر/انتقال نهایی</v>
      </c>
      <c r="I446" s="367"/>
      <c r="J446" s="367"/>
      <c r="K446" s="367"/>
      <c r="L446" s="367"/>
      <c r="M446" s="368"/>
    </row>
    <row r="447" ht="26" customHeight="1">
      <c r="A447" s="345" t="str">
        <v>U165</v>
      </c>
      <c r="B447" s="346" t="str">
        <v>پس از مهلت</v>
      </c>
      <c r="C447" s="346" t="str">
        <v>۱۴۰۵/۰۷/۲۹</v>
      </c>
      <c r="D447" s="346" t="n">
        <v>-5</v>
      </c>
      <c r="E447" s="346" t="str">
        <v>انتقال به تثبیت نهایی؛ تاریخ پایه پس از مهلت</v>
      </c>
      <c r="F447" s="346" t="str">
        <v>روان‌شناسی رشد کرین</v>
      </c>
      <c r="G447" s="346" t="str">
        <v>شکست/ضعف ← ضریب ← سررسید</v>
      </c>
      <c r="H447" s="346" t="str">
        <v>معتبر/انتقال نهایی</v>
      </c>
      <c r="I447" s="346"/>
      <c r="J447" s="346"/>
      <c r="K447" s="346"/>
      <c r="L447" s="346"/>
      <c r="M447" s="347"/>
    </row>
    <row r="448" ht="26" customHeight="1">
      <c r="A448" s="366" t="str">
        <v>U166</v>
      </c>
      <c r="B448" s="367" t="str">
        <v>۱۴۰۵/۰۷/۰۸</v>
      </c>
      <c r="C448" s="367" t="str">
        <v>۱۴۰۵/۰۷/۰۹</v>
      </c>
      <c r="D448" s="367" t="n">
        <v>1</v>
      </c>
      <c r="E448" s="367" t="str">
        <v>رفع برخورد و حفظ محدودیت دو درس</v>
      </c>
      <c r="F448" s="367" t="str">
        <v>روان‌شناسی رشد کرین</v>
      </c>
      <c r="G448" s="367" t="str">
        <v>شکست/ضعف ← ضریب ← سررسید</v>
      </c>
      <c r="H448" s="367" t="str">
        <v>معتبر/انتقال نهایی</v>
      </c>
      <c r="I448" s="367"/>
      <c r="J448" s="367"/>
      <c r="K448" s="367"/>
      <c r="L448" s="367"/>
      <c r="M448" s="368"/>
    </row>
    <row r="449" ht="26" customHeight="1">
      <c r="A449" s="345" t="str">
        <v>U166</v>
      </c>
      <c r="B449" s="346" t="str">
        <v>۱۴۰۵/۰۷/۱۰</v>
      </c>
      <c r="C449" s="346" t="str">
        <v>۱۴۰۵/۰۷/۱۱</v>
      </c>
      <c r="D449" s="346" t="n">
        <v>1</v>
      </c>
      <c r="E449" s="346" t="str">
        <v>رفع برخورد و حفظ محدودیت دو درس</v>
      </c>
      <c r="F449" s="346" t="str">
        <v>روان‌شناسی رشد کرین</v>
      </c>
      <c r="G449" s="346" t="str">
        <v>شکست/ضعف ← ضریب ← سررسید</v>
      </c>
      <c r="H449" s="346" t="str">
        <v>معتبر/انتقال نهایی</v>
      </c>
      <c r="I449" s="346"/>
      <c r="J449" s="346"/>
      <c r="K449" s="346"/>
      <c r="L449" s="346"/>
      <c r="M449" s="347"/>
    </row>
    <row r="450" ht="26" customHeight="1">
      <c r="A450" s="366" t="str">
        <v>U166</v>
      </c>
      <c r="B450" s="367" t="str">
        <v>پس از مهلت</v>
      </c>
      <c r="C450" s="367" t="str">
        <v>۱۴۰۵/۰۷/۲۹</v>
      </c>
      <c r="D450" s="367" t="n">
        <v>-6</v>
      </c>
      <c r="E450" s="367" t="str">
        <v>انتقال به تثبیت نهایی؛ تاریخ پایه پس از مهلت</v>
      </c>
      <c r="F450" s="367" t="str">
        <v>روان‌شناسی رشد کرین</v>
      </c>
      <c r="G450" s="367" t="str">
        <v>شکست/ضعف ← ضریب ← سررسید</v>
      </c>
      <c r="H450" s="367" t="str">
        <v>معتبر/انتقال نهایی</v>
      </c>
      <c r="I450" s="367"/>
      <c r="J450" s="367"/>
      <c r="K450" s="367"/>
      <c r="L450" s="367"/>
      <c r="M450" s="368"/>
    </row>
    <row r="451" ht="26" customHeight="1">
      <c r="A451" s="345" t="str">
        <v>U167</v>
      </c>
      <c r="B451" s="346" t="str">
        <v>۱۴۰۵/۰۷/۱۰</v>
      </c>
      <c r="C451" s="346" t="str">
        <v>۱۴۰۵/۰۷/۱۱</v>
      </c>
      <c r="D451" s="346" t="n">
        <v>1</v>
      </c>
      <c r="E451" s="346" t="str">
        <v>رفع برخورد و حفظ محدودیت دو درس</v>
      </c>
      <c r="F451" s="346" t="str">
        <v>روان‌شناسی رشد کرین</v>
      </c>
      <c r="G451" s="346" t="str">
        <v>شکست/ضعف ← ضریب ← سررسید</v>
      </c>
      <c r="H451" s="346" t="str">
        <v>معتبر/انتقال نهایی</v>
      </c>
      <c r="I451" s="346"/>
      <c r="J451" s="346"/>
      <c r="K451" s="346"/>
      <c r="L451" s="346"/>
      <c r="M451" s="347"/>
    </row>
    <row r="452" ht="26" customHeight="1">
      <c r="A452" s="366" t="str">
        <v>U167</v>
      </c>
      <c r="B452" s="367" t="str">
        <v>۱۴۰۵/۰۷/۲۳</v>
      </c>
      <c r="C452" s="367" t="str">
        <v>۱۴۰۵/۰۷/۲۵</v>
      </c>
      <c r="D452" s="367" t="n">
        <v>2</v>
      </c>
      <c r="E452" s="367" t="str">
        <v>کمبود مواجهه همان درس؛ جابه‌جایی صریح</v>
      </c>
      <c r="F452" s="367" t="str">
        <v>روان‌شناسی رشد کرین</v>
      </c>
      <c r="G452" s="367" t="str">
        <v>شکست/ضعف ← ضریب ← سررسید</v>
      </c>
      <c r="H452" s="367" t="str">
        <v>پرچم‌گذاری‌شده</v>
      </c>
      <c r="I452" s="367"/>
      <c r="J452" s="367"/>
      <c r="K452" s="367"/>
      <c r="L452" s="367"/>
      <c r="M452" s="368"/>
    </row>
    <row r="453" ht="26" customHeight="1">
      <c r="A453" s="345" t="str">
        <v>U167</v>
      </c>
      <c r="B453" s="346" t="str">
        <v>پس از مهلت</v>
      </c>
      <c r="C453" s="346" t="str">
        <v>۱۴۰۵/۰۷/۲۹</v>
      </c>
      <c r="D453" s="346" t="n">
        <v>-8</v>
      </c>
      <c r="E453" s="346" t="str">
        <v>انتقال به تثبیت نهایی؛ تاریخ پایه پس از مهلت</v>
      </c>
      <c r="F453" s="346" t="str">
        <v>روان‌شناسی رشد کرین</v>
      </c>
      <c r="G453" s="346" t="str">
        <v>شکست/ضعف ← ضریب ← سررسید</v>
      </c>
      <c r="H453" s="346" t="str">
        <v>معتبر/انتقال نهایی</v>
      </c>
      <c r="I453" s="346"/>
      <c r="J453" s="346"/>
      <c r="K453" s="346"/>
      <c r="L453" s="346"/>
      <c r="M453" s="347"/>
    </row>
    <row r="454" ht="26" customHeight="1">
      <c r="A454" s="366" t="str">
        <v>U168</v>
      </c>
      <c r="B454" s="367" t="str">
        <v>۱۴۰۵/۰۷/۱۰</v>
      </c>
      <c r="C454" s="367" t="str">
        <v>۱۴۰۵/۰۷/۱۱</v>
      </c>
      <c r="D454" s="367" t="n">
        <v>1</v>
      </c>
      <c r="E454" s="367" t="str">
        <v>رفع برخورد و حفظ محدودیت دو درس</v>
      </c>
      <c r="F454" s="367" t="str">
        <v>روان‌شناسی رشد کرین</v>
      </c>
      <c r="G454" s="367" t="str">
        <v>شکست/ضعف ← ضریب ← سررسید</v>
      </c>
      <c r="H454" s="367" t="str">
        <v>معتبر/انتقال نهایی</v>
      </c>
      <c r="I454" s="367"/>
      <c r="J454" s="367"/>
      <c r="K454" s="367"/>
      <c r="L454" s="367"/>
      <c r="M454" s="368"/>
    </row>
    <row r="455" ht="26" customHeight="1">
      <c r="A455" s="345" t="str">
        <v>U168</v>
      </c>
      <c r="B455" s="346" t="str">
        <v>۱۴۰۵/۰۷/۲۳</v>
      </c>
      <c r="C455" s="346" t="str">
        <v>۱۴۰۵/۰۷/۲۵</v>
      </c>
      <c r="D455" s="346" t="n">
        <v>2</v>
      </c>
      <c r="E455" s="346" t="str">
        <v>کمبود مواجهه همان درس؛ جابه‌جایی صریح</v>
      </c>
      <c r="F455" s="346" t="str">
        <v>روان‌شناسی رشد کرین</v>
      </c>
      <c r="G455" s="346" t="str">
        <v>شکست/ضعف ← ضریب ← سررسید</v>
      </c>
      <c r="H455" s="346" t="str">
        <v>پرچم‌گذاری‌شده</v>
      </c>
      <c r="I455" s="346"/>
      <c r="J455" s="346"/>
      <c r="K455" s="346"/>
      <c r="L455" s="346"/>
      <c r="M455" s="347"/>
    </row>
    <row r="456" ht="26" customHeight="1">
      <c r="A456" s="366" t="str">
        <v>U168</v>
      </c>
      <c r="B456" s="367" t="str">
        <v>پس از مهلت</v>
      </c>
      <c r="C456" s="367" t="str">
        <v>۱۴۰۵/۰۷/۲۹</v>
      </c>
      <c r="D456" s="367" t="n">
        <v>-8</v>
      </c>
      <c r="E456" s="367" t="str">
        <v>انتقال به تثبیت نهایی؛ تاریخ پایه پس از مهلت</v>
      </c>
      <c r="F456" s="367" t="str">
        <v>روان‌شناسی رشد کرین</v>
      </c>
      <c r="G456" s="367" t="str">
        <v>شکست/ضعف ← ضریب ← سررسید</v>
      </c>
      <c r="H456" s="367" t="str">
        <v>معتبر/انتقال نهایی</v>
      </c>
      <c r="I456" s="367"/>
      <c r="J456" s="367"/>
      <c r="K456" s="367"/>
      <c r="L456" s="367"/>
      <c r="M456" s="368"/>
    </row>
    <row r="457" ht="26" customHeight="1">
      <c r="A457" s="345" t="str">
        <v>U169</v>
      </c>
      <c r="B457" s="346" t="str">
        <v>پس از مهلت</v>
      </c>
      <c r="C457" s="346" t="str">
        <v>۱۴۰۵/۰۷/۲۹</v>
      </c>
      <c r="D457" s="346" t="n">
        <v>-10</v>
      </c>
      <c r="E457" s="346" t="str">
        <v>انتقال به تثبیت نهایی؛ تاریخ پایه پس از مهلت</v>
      </c>
      <c r="F457" s="346" t="str">
        <v>روان‌شناسی رشد کرین</v>
      </c>
      <c r="G457" s="346" t="str">
        <v>شکست/ضعف ← ضریب ← سررسید</v>
      </c>
      <c r="H457" s="346" t="str">
        <v>معتبر/انتقال نهایی</v>
      </c>
      <c r="I457" s="346"/>
      <c r="J457" s="346"/>
      <c r="K457" s="346"/>
      <c r="L457" s="346"/>
      <c r="M457" s="347"/>
    </row>
    <row r="458" ht="26" customHeight="1">
      <c r="A458" s="366" t="str">
        <v>U170</v>
      </c>
      <c r="B458" s="367" t="str">
        <v>۱۴۰۵/۰۷/۱۵</v>
      </c>
      <c r="C458" s="367" t="str">
        <v>۱۴۰۵/۰۷/۱۶</v>
      </c>
      <c r="D458" s="367" t="n">
        <v>1</v>
      </c>
      <c r="E458" s="367" t="str">
        <v>رفع برخورد و حفظ محدودیت دو درس</v>
      </c>
      <c r="F458" s="367" t="str">
        <v>روان‌شناسی رشد کرین</v>
      </c>
      <c r="G458" s="367" t="str">
        <v>شکست/ضعف ← ضریب ← سررسید</v>
      </c>
      <c r="H458" s="367" t="str">
        <v>معتبر/انتقال نهایی</v>
      </c>
      <c r="I458" s="367"/>
      <c r="J458" s="367"/>
      <c r="K458" s="367"/>
      <c r="L458" s="367"/>
      <c r="M458" s="368"/>
    </row>
    <row r="459" ht="26" customHeight="1">
      <c r="A459" s="345" t="str">
        <v>U170</v>
      </c>
      <c r="B459" s="346" t="str">
        <v>پس از مهلت</v>
      </c>
      <c r="C459" s="346" t="str">
        <v>۱۴۰۵/۰۷/۲۹</v>
      </c>
      <c r="D459" s="346" t="n">
        <v>-11</v>
      </c>
      <c r="E459" s="346" t="str">
        <v>انتقال به تثبیت نهایی؛ تاریخ پایه پس از مهلت</v>
      </c>
      <c r="F459" s="346" t="str">
        <v>روان‌شناسی رشد کرین</v>
      </c>
      <c r="G459" s="346" t="str">
        <v>شکست/ضعف ← ضریب ← سررسید</v>
      </c>
      <c r="H459" s="346" t="str">
        <v>معتبر/انتقال نهایی</v>
      </c>
      <c r="I459" s="346"/>
      <c r="J459" s="346"/>
      <c r="K459" s="346"/>
      <c r="L459" s="346"/>
      <c r="M459" s="347"/>
    </row>
    <row r="460" ht="26" customHeight="1">
      <c r="A460" s="366" t="str">
        <v>U171</v>
      </c>
      <c r="B460" s="367" t="str">
        <v>۱۴۰۵/۰۷/۲۷</v>
      </c>
      <c r="C460" s="367" t="str">
        <v>۱۴۰۵/۰۷/۲۸</v>
      </c>
      <c r="D460" s="367" t="n">
        <v>1</v>
      </c>
      <c r="E460" s="367" t="str">
        <v>رفع برخورد و حفظ محدودیت دو درس</v>
      </c>
      <c r="F460" s="367" t="str">
        <v>روان‌شناسی رشد کرین</v>
      </c>
      <c r="G460" s="367" t="str">
        <v>شکست/ضعف ← ضریب ← سررسید</v>
      </c>
      <c r="H460" s="367" t="str">
        <v>معتبر/انتقال نهایی</v>
      </c>
      <c r="I460" s="367"/>
      <c r="J460" s="367"/>
      <c r="K460" s="367"/>
      <c r="L460" s="367"/>
      <c r="M460" s="368"/>
    </row>
    <row r="461" ht="26" customHeight="1">
      <c r="A461" s="345" t="str">
        <v>U171</v>
      </c>
      <c r="B461" s="346" t="str">
        <v>پس از مهلت</v>
      </c>
      <c r="C461" s="346" t="str">
        <v>۱۴۰۵/۰۷/۲۹</v>
      </c>
      <c r="D461" s="346" t="n">
        <v>-12</v>
      </c>
      <c r="E461" s="346" t="str">
        <v>انتقال به تثبیت نهایی؛ تاریخ پایه پس از مهلت</v>
      </c>
      <c r="F461" s="346" t="str">
        <v>روان‌شناسی رشد کرین</v>
      </c>
      <c r="G461" s="346" t="str">
        <v>شکست/ضعف ← ضریب ← سررسید</v>
      </c>
      <c r="H461" s="346" t="str">
        <v>معتبر/انتقال نهایی</v>
      </c>
      <c r="I461" s="346"/>
      <c r="J461" s="346"/>
      <c r="K461" s="346"/>
      <c r="L461" s="346"/>
      <c r="M461" s="347"/>
    </row>
    <row r="462" ht="26" customHeight="1">
      <c r="A462" s="366" t="str">
        <v>U172</v>
      </c>
      <c r="B462" s="367" t="str">
        <v>۱۴۰۵/۰۷/۲۷</v>
      </c>
      <c r="C462" s="367" t="str">
        <v>۱۴۰۵/۰۷/۲۸</v>
      </c>
      <c r="D462" s="367" t="n">
        <v>1</v>
      </c>
      <c r="E462" s="367" t="str">
        <v>رفع برخورد و حفظ محدودیت دو درس</v>
      </c>
      <c r="F462" s="367" t="str">
        <v>روان‌شناسی رشد کرین</v>
      </c>
      <c r="G462" s="367" t="str">
        <v>شکست/ضعف ← ضریب ← سررسید</v>
      </c>
      <c r="H462" s="367" t="str">
        <v>معتبر/انتقال نهایی</v>
      </c>
      <c r="I462" s="367"/>
      <c r="J462" s="367"/>
      <c r="K462" s="367"/>
      <c r="L462" s="367"/>
      <c r="M462" s="368"/>
    </row>
    <row r="463" ht="26" customHeight="1">
      <c r="A463" s="345" t="str">
        <v>U172</v>
      </c>
      <c r="B463" s="346" t="str">
        <v>پس از مهلت</v>
      </c>
      <c r="C463" s="346" t="str">
        <v>۱۴۰۵/۰۷/۲۹</v>
      </c>
      <c r="D463" s="346" t="n">
        <v>-12</v>
      </c>
      <c r="E463" s="346" t="str">
        <v>انتقال به تثبیت نهایی؛ تاریخ پایه پس از مهلت</v>
      </c>
      <c r="F463" s="346" t="str">
        <v>روان‌شناسی رشد کرین</v>
      </c>
      <c r="G463" s="346" t="str">
        <v>شکست/ضعف ← ضریب ← سررسید</v>
      </c>
      <c r="H463" s="346" t="str">
        <v>معتبر/انتقال نهایی</v>
      </c>
      <c r="I463" s="346"/>
      <c r="J463" s="346"/>
      <c r="K463" s="346"/>
      <c r="L463" s="346"/>
      <c r="M463" s="347"/>
    </row>
    <row r="464" ht="26" customHeight="1">
      <c r="A464" s="366" t="str">
        <v>U173</v>
      </c>
      <c r="B464" s="367" t="str">
        <v>۱۴۰۵/۰۷/۱۵</v>
      </c>
      <c r="C464" s="367" t="str">
        <v>۱۴۰۵/۰۷/۱۶</v>
      </c>
      <c r="D464" s="367" t="n">
        <v>1</v>
      </c>
      <c r="E464" s="367" t="str">
        <v>رفع برخورد و حفظ محدودیت دو درس</v>
      </c>
      <c r="F464" s="367" t="str">
        <v>روان‌شناسی رشد کرین</v>
      </c>
      <c r="G464" s="367" t="str">
        <v>شکست/ضعف ← ضریب ← سررسید</v>
      </c>
      <c r="H464" s="367" t="str">
        <v>معتبر/انتقال نهایی</v>
      </c>
      <c r="I464" s="367"/>
      <c r="J464" s="367"/>
      <c r="K464" s="367"/>
      <c r="L464" s="367"/>
      <c r="M464" s="368"/>
    </row>
    <row r="465" ht="26" customHeight="1">
      <c r="A465" s="345" t="str">
        <v>U173</v>
      </c>
      <c r="B465" s="346" t="str">
        <v>۱۴۰۵/۰۷/۱۷</v>
      </c>
      <c r="C465" s="346" t="str">
        <v>۱۴۰۵/۰۷/۱۸</v>
      </c>
      <c r="D465" s="346" t="n">
        <v>1</v>
      </c>
      <c r="E465" s="346" t="str">
        <v>رفع برخورد و حفظ محدودیت دو درس</v>
      </c>
      <c r="F465" s="346" t="str">
        <v>روان‌شناسی رشد کرین</v>
      </c>
      <c r="G465" s="346" t="str">
        <v>شکست/ضعف ← ضریب ← سررسید</v>
      </c>
      <c r="H465" s="346" t="str">
        <v>معتبر/انتقال نهایی</v>
      </c>
      <c r="I465" s="346"/>
      <c r="J465" s="346"/>
      <c r="K465" s="346"/>
      <c r="L465" s="346"/>
      <c r="M465" s="347"/>
    </row>
    <row r="466" ht="26" customHeight="1">
      <c r="A466" s="366" t="str">
        <v>U173</v>
      </c>
      <c r="B466" s="367" t="str">
        <v>پس از مهلت</v>
      </c>
      <c r="C466" s="367" t="str">
        <v>۱۴۰۵/۰۷/۲۹</v>
      </c>
      <c r="D466" s="367" t="n">
        <v>-13</v>
      </c>
      <c r="E466" s="367" t="str">
        <v>انتقال به تثبیت نهایی؛ تاریخ پایه پس از مهلت</v>
      </c>
      <c r="F466" s="367" t="str">
        <v>روان‌شناسی رشد کرین</v>
      </c>
      <c r="G466" s="367" t="str">
        <v>شکست/ضعف ← ضریب ← سررسید</v>
      </c>
      <c r="H466" s="367" t="str">
        <v>معتبر/انتقال نهایی</v>
      </c>
      <c r="I466" s="367"/>
      <c r="J466" s="367"/>
      <c r="K466" s="367"/>
      <c r="L466" s="367"/>
      <c r="M466" s="368"/>
    </row>
    <row r="467" ht="26" customHeight="1">
      <c r="A467" s="345" t="str">
        <v>U174</v>
      </c>
      <c r="B467" s="346" t="str">
        <v>۱۴۰۵/۰۷/۱۵</v>
      </c>
      <c r="C467" s="346" t="str">
        <v>۱۴۰۵/۰۷/۱۶</v>
      </c>
      <c r="D467" s="346" t="n">
        <v>1</v>
      </c>
      <c r="E467" s="346" t="str">
        <v>رفع برخورد و حفظ محدودیت دو درس</v>
      </c>
      <c r="F467" s="346" t="str">
        <v>روان‌شناسی رشد کرین</v>
      </c>
      <c r="G467" s="346" t="str">
        <v>شکست/ضعف ← ضریب ← سررسید</v>
      </c>
      <c r="H467" s="346" t="str">
        <v>معتبر/انتقال نهایی</v>
      </c>
      <c r="I467" s="346"/>
      <c r="J467" s="346"/>
      <c r="K467" s="346"/>
      <c r="L467" s="346"/>
      <c r="M467" s="347"/>
    </row>
    <row r="468" ht="26" customHeight="1">
      <c r="A468" s="366" t="str">
        <v>U174</v>
      </c>
      <c r="B468" s="367" t="str">
        <v>۱۴۰۵/۰۷/۱۷</v>
      </c>
      <c r="C468" s="367" t="str">
        <v>۱۴۰۵/۰۷/۱۸</v>
      </c>
      <c r="D468" s="367" t="n">
        <v>1</v>
      </c>
      <c r="E468" s="367" t="str">
        <v>رفع برخورد و حفظ محدودیت دو درس</v>
      </c>
      <c r="F468" s="367" t="str">
        <v>روان‌شناسی رشد کرین</v>
      </c>
      <c r="G468" s="367" t="str">
        <v>شکست/ضعف ← ضریب ← سررسید</v>
      </c>
      <c r="H468" s="367" t="str">
        <v>معتبر/انتقال نهایی</v>
      </c>
      <c r="I468" s="367"/>
      <c r="J468" s="367"/>
      <c r="K468" s="367"/>
      <c r="L468" s="367"/>
      <c r="M468" s="368"/>
    </row>
    <row r="469" ht="26" customHeight="1">
      <c r="A469" s="345" t="str">
        <v>U174</v>
      </c>
      <c r="B469" s="346" t="str">
        <v>پس از مهلت</v>
      </c>
      <c r="C469" s="346" t="str">
        <v>۱۴۰۵/۰۷/۲۹</v>
      </c>
      <c r="D469" s="346" t="n">
        <v>-13</v>
      </c>
      <c r="E469" s="346" t="str">
        <v>انتقال به تثبیت نهایی؛ تاریخ پایه پس از مهلت</v>
      </c>
      <c r="F469" s="346" t="str">
        <v>روان‌شناسی رشد کرین</v>
      </c>
      <c r="G469" s="346" t="str">
        <v>شکست/ضعف ← ضریب ← سررسید</v>
      </c>
      <c r="H469" s="346" t="str">
        <v>معتبر/انتقال نهایی</v>
      </c>
      <c r="I469" s="346"/>
      <c r="J469" s="346"/>
      <c r="K469" s="346"/>
      <c r="L469" s="346"/>
      <c r="M469" s="347"/>
    </row>
    <row r="470" ht="26" customHeight="1">
      <c r="A470" s="366" t="str">
        <v>U175</v>
      </c>
      <c r="B470" s="367" t="str">
        <v>۱۴۰۵/۰۷/۱۷</v>
      </c>
      <c r="C470" s="367" t="str">
        <v>۱۴۰۵/۰۷/۱۸</v>
      </c>
      <c r="D470" s="367" t="n">
        <v>1</v>
      </c>
      <c r="E470" s="367" t="str">
        <v>رفع برخورد و حفظ محدودیت دو درس</v>
      </c>
      <c r="F470" s="367" t="str">
        <v>روان‌شناسی رشد کرین</v>
      </c>
      <c r="G470" s="367" t="str">
        <v>شکست/ضعف ← ضریب ← سررسید</v>
      </c>
      <c r="H470" s="367" t="str">
        <v>معتبر/انتقال نهایی</v>
      </c>
      <c r="I470" s="367"/>
      <c r="J470" s="367"/>
      <c r="K470" s="367"/>
      <c r="L470" s="367"/>
      <c r="M470" s="368"/>
    </row>
    <row r="471" ht="26" customHeight="1">
      <c r="A471" s="345" t="str">
        <v>U175</v>
      </c>
      <c r="B471" s="346" t="str">
        <v>۱۴۰۵/۰۷/۲۳</v>
      </c>
      <c r="C471" s="346" t="str">
        <v>۱۴۰۵/۰۷/۲۵</v>
      </c>
      <c r="D471" s="346" t="n">
        <v>2</v>
      </c>
      <c r="E471" s="346" t="str">
        <v>کمبود مواجهه همان درس؛ جابه‌جایی صریح</v>
      </c>
      <c r="F471" s="346" t="str">
        <v>روان‌شناسی رشد کرین</v>
      </c>
      <c r="G471" s="346" t="str">
        <v>شکست/ضعف ← ضریب ← سررسید</v>
      </c>
      <c r="H471" s="346" t="str">
        <v>پرچم‌گذاری‌شده</v>
      </c>
      <c r="I471" s="346"/>
      <c r="J471" s="346"/>
      <c r="K471" s="346"/>
      <c r="L471" s="346"/>
      <c r="M471" s="347"/>
    </row>
    <row r="472" ht="26" customHeight="1">
      <c r="A472" s="366" t="str">
        <v>U175</v>
      </c>
      <c r="B472" s="367" t="str">
        <v>۱۴۰۵/۰۷/۳۰</v>
      </c>
      <c r="C472" s="367" t="str">
        <v>۱۴۰۵/۰۷/۲۹</v>
      </c>
      <c r="D472" s="367" t="n">
        <v>-1</v>
      </c>
      <c r="E472" s="367" t="str">
        <v>رفع برخورد و حفظ محدودیت دو درس</v>
      </c>
      <c r="F472" s="367" t="str">
        <v>روان‌شناسی رشد کرین</v>
      </c>
      <c r="G472" s="367" t="str">
        <v>شکست/ضعف ← ضریب ← سررسید</v>
      </c>
      <c r="H472" s="367" t="str">
        <v>معتبر/انتقال نهایی</v>
      </c>
      <c r="I472" s="367"/>
      <c r="J472" s="367"/>
      <c r="K472" s="367"/>
      <c r="L472" s="367"/>
      <c r="M472" s="368"/>
    </row>
    <row r="473" ht="26" customHeight="1">
      <c r="A473" s="345" t="str">
        <v>U175</v>
      </c>
      <c r="B473" s="346" t="str">
        <v>پس از مهلت</v>
      </c>
      <c r="C473" s="346" t="str">
        <v>۱۴۰۵/۰۷/۲۹</v>
      </c>
      <c r="D473" s="346" t="n">
        <v>-15</v>
      </c>
      <c r="E473" s="346" t="str">
        <v>انتقال به تثبیت نهایی؛ تاریخ پایه پس از مهلت</v>
      </c>
      <c r="F473" s="346" t="str">
        <v>روان‌شناسی رشد کرین</v>
      </c>
      <c r="G473" s="346" t="str">
        <v>شکست/ضعف ← ضریب ← سررسید</v>
      </c>
      <c r="H473" s="346" t="str">
        <v>معتبر/انتقال نهایی</v>
      </c>
      <c r="I473" s="346"/>
      <c r="J473" s="346"/>
      <c r="K473" s="346"/>
      <c r="L473" s="346"/>
      <c r="M473" s="347"/>
    </row>
    <row r="474" ht="26" customHeight="1">
      <c r="A474" s="366" t="str">
        <v>U176</v>
      </c>
      <c r="B474" s="367" t="str">
        <v>۱۴۰۵/۰۷/۱۷</v>
      </c>
      <c r="C474" s="367" t="str">
        <v>۱۴۰۵/۰۷/۱۸</v>
      </c>
      <c r="D474" s="367" t="n">
        <v>1</v>
      </c>
      <c r="E474" s="367" t="str">
        <v>رفع برخورد و حفظ محدودیت دو درس</v>
      </c>
      <c r="F474" s="367" t="str">
        <v>روان‌شناسی رشد کرین</v>
      </c>
      <c r="G474" s="367" t="str">
        <v>شکست/ضعف ← ضریب ← سررسید</v>
      </c>
      <c r="H474" s="367" t="str">
        <v>معتبر/انتقال نهایی</v>
      </c>
      <c r="I474" s="367"/>
      <c r="J474" s="367"/>
      <c r="K474" s="367"/>
      <c r="L474" s="367"/>
      <c r="M474" s="368"/>
    </row>
    <row r="475" ht="26" customHeight="1">
      <c r="A475" s="345" t="str">
        <v>U176</v>
      </c>
      <c r="B475" s="346" t="str">
        <v>۱۴۰۵/۰۷/۲۳</v>
      </c>
      <c r="C475" s="346" t="str">
        <v>۱۴۰۵/۰۷/۲۵</v>
      </c>
      <c r="D475" s="346" t="n">
        <v>2</v>
      </c>
      <c r="E475" s="346" t="str">
        <v>کمبود مواجهه همان درس؛ جابه‌جایی صریح</v>
      </c>
      <c r="F475" s="346" t="str">
        <v>روان‌شناسی رشد کرین</v>
      </c>
      <c r="G475" s="346" t="str">
        <v>شکست/ضعف ← ضریب ← سررسید</v>
      </c>
      <c r="H475" s="346" t="str">
        <v>پرچم‌گذاری‌شده</v>
      </c>
      <c r="I475" s="346"/>
      <c r="J475" s="346"/>
      <c r="K475" s="346"/>
      <c r="L475" s="346"/>
      <c r="M475" s="347"/>
    </row>
    <row r="476" ht="26" customHeight="1">
      <c r="A476" s="366" t="str">
        <v>U176</v>
      </c>
      <c r="B476" s="367" t="str">
        <v>۱۴۰۵/۰۷/۳۰</v>
      </c>
      <c r="C476" s="367" t="str">
        <v>۱۴۰۵/۰۷/۲۹</v>
      </c>
      <c r="D476" s="367" t="n">
        <v>-1</v>
      </c>
      <c r="E476" s="367" t="str">
        <v>رفع برخورد و حفظ محدودیت دو درس</v>
      </c>
      <c r="F476" s="367" t="str">
        <v>روان‌شناسی رشد کرین</v>
      </c>
      <c r="G476" s="367" t="str">
        <v>شکست/ضعف ← ضریب ← سررسید</v>
      </c>
      <c r="H476" s="367" t="str">
        <v>معتبر/انتقال نهایی</v>
      </c>
      <c r="I476" s="367"/>
      <c r="J476" s="367"/>
      <c r="K476" s="367"/>
      <c r="L476" s="367"/>
      <c r="M476" s="368"/>
    </row>
    <row r="477" ht="26" customHeight="1">
      <c r="A477" s="345" t="str">
        <v>U176</v>
      </c>
      <c r="B477" s="346" t="str">
        <v>پس از مهلت</v>
      </c>
      <c r="C477" s="346" t="str">
        <v>۱۴۰۵/۰۷/۲۹</v>
      </c>
      <c r="D477" s="346" t="n">
        <v>-15</v>
      </c>
      <c r="E477" s="346" t="str">
        <v>انتقال به تثبیت نهایی؛ تاریخ پایه پس از مهلت</v>
      </c>
      <c r="F477" s="346" t="str">
        <v>روان‌شناسی رشد کرین</v>
      </c>
      <c r="G477" s="346" t="str">
        <v>شکست/ضعف ← ضریب ← سررسید</v>
      </c>
      <c r="H477" s="346" t="str">
        <v>معتبر/انتقال نهایی</v>
      </c>
      <c r="I477" s="346"/>
      <c r="J477" s="346"/>
      <c r="K477" s="346"/>
      <c r="L477" s="346"/>
      <c r="M477" s="347"/>
    </row>
    <row r="478" ht="26" customHeight="1">
      <c r="A478" s="366" t="str">
        <v>U177</v>
      </c>
      <c r="B478" s="367" t="str">
        <v>پس از مهلت</v>
      </c>
      <c r="C478" s="367" t="str">
        <v>۱۴۰۵/۰۷/۲۹</v>
      </c>
      <c r="D478" s="367" t="n">
        <v>-3</v>
      </c>
      <c r="E478" s="367" t="str">
        <v>انتقال به تثبیت نهایی؛ تاریخ پایه پس از مهلت</v>
      </c>
      <c r="F478" s="367" t="str">
        <v>روان‌شناسی رشد کرین</v>
      </c>
      <c r="G478" s="367" t="str">
        <v>شکست/ضعف ← ضریب ← سررسید</v>
      </c>
      <c r="H478" s="367" t="str">
        <v>معتبر/انتقال نهایی</v>
      </c>
      <c r="I478" s="367"/>
      <c r="J478" s="367"/>
      <c r="K478" s="367"/>
      <c r="L478" s="367"/>
      <c r="M478" s="368"/>
    </row>
    <row r="479" ht="26" customHeight="1">
      <c r="A479" s="345" t="str">
        <v>U177</v>
      </c>
      <c r="B479" s="346" t="str">
        <v>پس از مهلت</v>
      </c>
      <c r="C479" s="346" t="str">
        <v>۱۴۰۵/۰۷/۲۹</v>
      </c>
      <c r="D479" s="346" t="n">
        <v>-17</v>
      </c>
      <c r="E479" s="346" t="str">
        <v>انتقال به تثبیت نهایی؛ تاریخ پایه پس از مهلت</v>
      </c>
      <c r="F479" s="346" t="str">
        <v>روان‌شناسی رشد کرین</v>
      </c>
      <c r="G479" s="346" t="str">
        <v>شکست/ضعف ← ضریب ← سررسید</v>
      </c>
      <c r="H479" s="346" t="str">
        <v>معتبر/انتقال نهایی</v>
      </c>
      <c r="I479" s="346"/>
      <c r="J479" s="346"/>
      <c r="K479" s="346"/>
      <c r="L479" s="346"/>
      <c r="M479" s="347"/>
    </row>
    <row r="480" ht="26" customHeight="1">
      <c r="A480" s="366" t="str">
        <v>U178</v>
      </c>
      <c r="B480" s="367" t="str">
        <v>۱۴۰۵/۰۷/۲۲</v>
      </c>
      <c r="C480" s="367" t="str">
        <v>۱۴۰۵/۰۷/۲۱</v>
      </c>
      <c r="D480" s="367" t="n">
        <v>-1</v>
      </c>
      <c r="E480" s="367" t="str">
        <v>رفع برخورد و حفظ محدودیت دو درس</v>
      </c>
      <c r="F480" s="367" t="str">
        <v>روان‌شناسی رشد کرین</v>
      </c>
      <c r="G480" s="367" t="str">
        <v>شکست/ضعف ← ضریب ← سررسید</v>
      </c>
      <c r="H480" s="367" t="str">
        <v>معتبر/انتقال نهایی</v>
      </c>
      <c r="I480" s="367"/>
      <c r="J480" s="367"/>
      <c r="K480" s="367"/>
      <c r="L480" s="367"/>
      <c r="M480" s="368"/>
    </row>
    <row r="481" ht="26" customHeight="1">
      <c r="A481" s="345" t="str">
        <v>U178</v>
      </c>
      <c r="B481" s="346" t="str">
        <v>پس از مهلت</v>
      </c>
      <c r="C481" s="346" t="str">
        <v>۱۴۰۵/۰۷/۲۹</v>
      </c>
      <c r="D481" s="346" t="n">
        <v>-4</v>
      </c>
      <c r="E481" s="346" t="str">
        <v>انتقال به تثبیت نهایی؛ تاریخ پایه پس از مهلت</v>
      </c>
      <c r="F481" s="346" t="str">
        <v>روان‌شناسی رشد کرین</v>
      </c>
      <c r="G481" s="346" t="str">
        <v>شکست/ضعف ← ضریب ← سررسید</v>
      </c>
      <c r="H481" s="346" t="str">
        <v>معتبر/انتقال نهایی</v>
      </c>
      <c r="I481" s="346"/>
      <c r="J481" s="346"/>
      <c r="K481" s="346"/>
      <c r="L481" s="346"/>
      <c r="M481" s="347"/>
    </row>
    <row r="482" ht="26" customHeight="1">
      <c r="A482" s="366" t="str">
        <v>U178</v>
      </c>
      <c r="B482" s="367" t="str">
        <v>پس از مهلت</v>
      </c>
      <c r="C482" s="367" t="str">
        <v>۱۴۰۵/۰۷/۲۹</v>
      </c>
      <c r="D482" s="367" t="n">
        <v>-18</v>
      </c>
      <c r="E482" s="367" t="str">
        <v>انتقال به تثبیت نهایی؛ تاریخ پایه پس از مهلت</v>
      </c>
      <c r="F482" s="367" t="str">
        <v>روان‌شناسی رشد کرین</v>
      </c>
      <c r="G482" s="367" t="str">
        <v>شکست/ضعف ← ضریب ← سررسید</v>
      </c>
      <c r="H482" s="367" t="str">
        <v>معتبر/انتقال نهایی</v>
      </c>
      <c r="I482" s="367"/>
      <c r="J482" s="367"/>
      <c r="K482" s="367"/>
      <c r="L482" s="367"/>
      <c r="M482" s="368"/>
    </row>
    <row r="483" ht="26" customHeight="1">
      <c r="A483" s="345" t="str">
        <v>U179</v>
      </c>
      <c r="B483" s="346" t="str">
        <v>۱۴۰۵/۰۷/۲۳</v>
      </c>
      <c r="C483" s="346" t="str">
        <v>۱۴۰۵/۰۷/۲۵</v>
      </c>
      <c r="D483" s="346" t="n">
        <v>2</v>
      </c>
      <c r="E483" s="346" t="str">
        <v>کمبود مواجهه همان درس؛ جابه‌جایی صریح</v>
      </c>
      <c r="F483" s="346" t="str">
        <v>روان‌شناسی رشد کرین</v>
      </c>
      <c r="G483" s="346" t="str">
        <v>شکست/ضعف ← ضریب ← سررسید</v>
      </c>
      <c r="H483" s="346" t="str">
        <v>پرچم‌گذاری‌شده</v>
      </c>
      <c r="I483" s="346"/>
      <c r="J483" s="346"/>
      <c r="K483" s="346"/>
      <c r="L483" s="346"/>
      <c r="M483" s="347"/>
    </row>
    <row r="484" ht="26" customHeight="1">
      <c r="A484" s="366" t="str">
        <v>U179</v>
      </c>
      <c r="B484" s="367" t="str">
        <v>۱۴۰۵/۰۷/۲۷</v>
      </c>
      <c r="C484" s="367" t="str">
        <v>۱۴۰۵/۰۷/۲۸</v>
      </c>
      <c r="D484" s="367" t="n">
        <v>1</v>
      </c>
      <c r="E484" s="367" t="str">
        <v>رفع برخورد و حفظ محدودیت دو درس</v>
      </c>
      <c r="F484" s="367" t="str">
        <v>روان‌شناسی رشد کرین</v>
      </c>
      <c r="G484" s="367" t="str">
        <v>شکست/ضعف ← ضریب ← سررسید</v>
      </c>
      <c r="H484" s="367" t="str">
        <v>معتبر/انتقال نهایی</v>
      </c>
      <c r="I484" s="367"/>
      <c r="J484" s="367"/>
      <c r="K484" s="367"/>
      <c r="L484" s="367"/>
      <c r="M484" s="368"/>
    </row>
    <row r="485" ht="26" customHeight="1">
      <c r="A485" s="345" t="str">
        <v>U179</v>
      </c>
      <c r="B485" s="346" t="str">
        <v>پس از مهلت</v>
      </c>
      <c r="C485" s="346" t="str">
        <v>۱۴۰۵/۰۷/۲۹</v>
      </c>
      <c r="D485" s="346" t="n">
        <v>-5</v>
      </c>
      <c r="E485" s="346" t="str">
        <v>انتقال به تثبیت نهایی؛ تاریخ پایه پس از مهلت</v>
      </c>
      <c r="F485" s="346" t="str">
        <v>روان‌شناسی رشد کرین</v>
      </c>
      <c r="G485" s="346" t="str">
        <v>شکست/ضعف ← ضریب ← سررسید</v>
      </c>
      <c r="H485" s="346" t="str">
        <v>معتبر/انتقال نهایی</v>
      </c>
      <c r="I485" s="346"/>
      <c r="J485" s="346"/>
      <c r="K485" s="346"/>
      <c r="L485" s="346"/>
      <c r="M485" s="347"/>
    </row>
    <row r="486" ht="26" customHeight="1">
      <c r="A486" s="366" t="str">
        <v>U179</v>
      </c>
      <c r="B486" s="367" t="str">
        <v>پس از مهلت</v>
      </c>
      <c r="C486" s="367" t="str">
        <v>۱۴۰۵/۰۷/۲۹</v>
      </c>
      <c r="D486" s="367" t="n">
        <v>-19</v>
      </c>
      <c r="E486" s="367" t="str">
        <v>انتقال به تثبیت نهایی؛ تاریخ پایه پس از مهلت</v>
      </c>
      <c r="F486" s="367" t="str">
        <v>روان‌شناسی رشد کرین</v>
      </c>
      <c r="G486" s="367" t="str">
        <v>شکست/ضعف ← ضریب ← سررسید</v>
      </c>
      <c r="H486" s="367" t="str">
        <v>معتبر/انتقال نهایی</v>
      </c>
      <c r="I486" s="367"/>
      <c r="J486" s="367"/>
      <c r="K486" s="367"/>
      <c r="L486" s="367"/>
      <c r="M486" s="368"/>
    </row>
    <row r="487" ht="26" customHeight="1">
      <c r="A487" s="345" t="str">
        <v>U180</v>
      </c>
      <c r="B487" s="346" t="str">
        <v>۱۴۰۵/۰۷/۲۲</v>
      </c>
      <c r="C487" s="346" t="str">
        <v>۱۴۰۵/۰۷/۲۱</v>
      </c>
      <c r="D487" s="346" t="n">
        <v>-1</v>
      </c>
      <c r="E487" s="346" t="str">
        <v>رفع برخورد و حفظ محدودیت دو درس</v>
      </c>
      <c r="F487" s="346" t="str">
        <v>روان‌شناسی رشد کرین</v>
      </c>
      <c r="G487" s="346" t="str">
        <v>شکست/ضعف ← ضریب ← سررسید</v>
      </c>
      <c r="H487" s="346" t="str">
        <v>معتبر/انتقال نهایی</v>
      </c>
      <c r="I487" s="346"/>
      <c r="J487" s="346"/>
      <c r="K487" s="346"/>
      <c r="L487" s="346"/>
      <c r="M487" s="347"/>
    </row>
    <row r="488" ht="26" customHeight="1">
      <c r="A488" s="366" t="str">
        <v>U180</v>
      </c>
      <c r="B488" s="367" t="str">
        <v>۱۴۰۵/۰۷/۲۴</v>
      </c>
      <c r="C488" s="367" t="str">
        <v>۱۴۰۵/۰۷/۲۵</v>
      </c>
      <c r="D488" s="367" t="n">
        <v>1</v>
      </c>
      <c r="E488" s="367" t="str">
        <v>رفع برخورد و حفظ محدودیت دو درس</v>
      </c>
      <c r="F488" s="367" t="str">
        <v>روان‌شناسی رشد کرین</v>
      </c>
      <c r="G488" s="367" t="str">
        <v>شکست/ضعف ← ضریب ← سررسید</v>
      </c>
      <c r="H488" s="367" t="str">
        <v>معتبر/انتقال نهایی</v>
      </c>
      <c r="I488" s="367"/>
      <c r="J488" s="367"/>
      <c r="K488" s="367"/>
      <c r="L488" s="367"/>
      <c r="M488" s="368"/>
    </row>
    <row r="489" ht="26" customHeight="1">
      <c r="A489" s="345" t="str">
        <v>U180</v>
      </c>
      <c r="B489" s="346" t="str">
        <v>پس از مهلت</v>
      </c>
      <c r="C489" s="346" t="str">
        <v>۱۴۰۵/۰۷/۲۹</v>
      </c>
      <c r="D489" s="346" t="n">
        <v>-6</v>
      </c>
      <c r="E489" s="346" t="str">
        <v>انتقال به تثبیت نهایی؛ تاریخ پایه پس از مهلت</v>
      </c>
      <c r="F489" s="346" t="str">
        <v>روان‌شناسی رشد کرین</v>
      </c>
      <c r="G489" s="346" t="str">
        <v>شکست/ضعف ← ضریب ← سررسید</v>
      </c>
      <c r="H489" s="346" t="str">
        <v>معتبر/انتقال نهایی</v>
      </c>
      <c r="I489" s="346"/>
      <c r="J489" s="346"/>
      <c r="K489" s="346"/>
      <c r="L489" s="346"/>
      <c r="M489" s="347"/>
    </row>
    <row r="490" ht="26" customHeight="1">
      <c r="A490" s="366" t="str">
        <v>U180</v>
      </c>
      <c r="B490" s="367" t="str">
        <v>پس از مهلت</v>
      </c>
      <c r="C490" s="367" t="str">
        <v>۱۴۰۵/۰۷/۲۹</v>
      </c>
      <c r="D490" s="367" t="n">
        <v>-20</v>
      </c>
      <c r="E490" s="367" t="str">
        <v>انتقال به تثبیت نهایی؛ تاریخ پایه پس از مهلت</v>
      </c>
      <c r="F490" s="367" t="str">
        <v>روان‌شناسی رشد کرین</v>
      </c>
      <c r="G490" s="367" t="str">
        <v>شکست/ضعف ← ضریب ← سررسید</v>
      </c>
      <c r="H490" s="367" t="str">
        <v>معتبر/انتقال نهایی</v>
      </c>
      <c r="I490" s="367"/>
      <c r="J490" s="367"/>
      <c r="K490" s="367"/>
      <c r="L490" s="367"/>
      <c r="M490" s="368"/>
    </row>
    <row r="491" ht="26" customHeight="1">
      <c r="A491" s="345"/>
      <c r="B491" s="346"/>
      <c r="C491" s="346"/>
      <c r="D491" s="346"/>
      <c r="E491" s="346"/>
      <c r="F491" s="346"/>
      <c r="G491" s="346"/>
      <c r="H491" s="346"/>
      <c r="I491" s="346"/>
      <c r="J491" s="346"/>
      <c r="K491" s="346"/>
      <c r="L491" s="346"/>
      <c r="M491" s="347"/>
    </row>
    <row r="492" ht="26" customHeight="1">
      <c r="A492" s="366"/>
      <c r="B492" s="367"/>
      <c r="C492" s="367"/>
      <c r="D492" s="367"/>
      <c r="E492" s="367"/>
      <c r="F492" s="367"/>
      <c r="G492" s="367"/>
      <c r="H492" s="367"/>
      <c r="I492" s="367"/>
      <c r="J492" s="367"/>
      <c r="K492" s="367"/>
      <c r="L492" s="367"/>
      <c r="M492" s="368"/>
    </row>
    <row r="493" ht="26" customHeight="1">
      <c r="A493" s="660" t="str">
        <v>بخش ز — گزارش اعتبارسنجی</v>
      </c>
      <c r="B493" s="661"/>
      <c r="C493" s="661"/>
      <c r="D493" s="661"/>
      <c r="E493" s="661"/>
      <c r="F493" s="661"/>
      <c r="G493" s="661"/>
      <c r="H493" s="661"/>
      <c r="I493" s="661"/>
      <c r="J493" s="661"/>
      <c r="K493" s="661"/>
      <c r="L493" s="661"/>
      <c r="M493" s="662"/>
    </row>
    <row r="494" ht="26" customHeight="1">
      <c r="A494" s="561" t="str">
        <v>نام اعتبارسنجی</v>
      </c>
      <c r="B494" s="562" t="str">
        <v>مقدار موردانتظار</v>
      </c>
      <c r="C494" s="562" t="str">
        <v>مقدار واقعی</v>
      </c>
      <c r="D494" s="562" t="str">
        <v>نتیجه</v>
      </c>
      <c r="E494" s="562" t="str">
        <v>توضیح</v>
      </c>
      <c r="F494" s="562"/>
      <c r="G494" s="562"/>
      <c r="H494" s="562"/>
      <c r="I494" s="562"/>
      <c r="J494" s="562"/>
      <c r="K494" s="562"/>
      <c r="L494" s="562"/>
      <c r="M494" s="563"/>
    </row>
    <row r="495" ht="26" customHeight="1">
      <c r="A495" s="345" t="str">
        <v>وجود چهار شیت</v>
      </c>
      <c r="B495" s="346" t="str">
        <v>۴</v>
      </c>
      <c r="C495" s="346" t="str">
        <v>۴</v>
      </c>
      <c r="D495" s="346" t="str">
        <v>قبول</v>
      </c>
      <c r="E495" s="346" t="str">
        <v>نام‌ها مطابق دستور است.</v>
      </c>
      <c r="F495" s="346"/>
      <c r="G495" s="346"/>
      <c r="H495" s="346"/>
      <c r="I495" s="346"/>
      <c r="J495" s="346"/>
      <c r="K495" s="346"/>
      <c r="L495" s="346"/>
      <c r="M495" s="347"/>
    </row>
    <row r="496" ht="26" customHeight="1">
      <c r="A496" s="366" t="str">
        <v>تعداد ردیف روزانه</v>
      </c>
      <c r="B496" s="367" t="str">
        <v>۸۱</v>
      </c>
      <c r="C496" s="367" t="n">
        <v>81</v>
      </c>
      <c r="D496" s="367" t="str">
        <v>قبول</v>
      </c>
      <c r="E496" s="367" t="str">
        <v>یک ردیف برای هر تاریخ.</v>
      </c>
      <c r="F496" s="367"/>
      <c r="G496" s="367"/>
      <c r="H496" s="367"/>
      <c r="I496" s="367"/>
      <c r="J496" s="367"/>
      <c r="K496" s="367"/>
      <c r="L496" s="367"/>
      <c r="M496" s="368"/>
    </row>
    <row r="497" ht="26" customHeight="1">
      <c r="A497" s="345" t="str">
        <v>اولین تاریخ</v>
      </c>
      <c r="B497" s="346" t="str">
        <v>۱۴۰۵/۰۵/۱۲</v>
      </c>
      <c r="C497" s="346" t="str">
        <v>۱۴۰۵/۰۵/۱۲</v>
      </c>
      <c r="D497" s="346" t="str">
        <v>قبول</v>
      </c>
      <c r="E497" s="346"/>
      <c r="F497" s="346"/>
      <c r="G497" s="346"/>
      <c r="H497" s="346"/>
      <c r="I497" s="346"/>
      <c r="J497" s="346"/>
      <c r="K497" s="346"/>
      <c r="L497" s="346"/>
      <c r="M497" s="347"/>
    </row>
    <row r="498" ht="26" customHeight="1">
      <c r="A498" s="366" t="str">
        <v>آخرین تاریخ</v>
      </c>
      <c r="B498" s="367" t="str">
        <v>۱۴۰۵/۰۷/۳۰</v>
      </c>
      <c r="C498" s="367" t="str">
        <v>۱۴۰۵/۰۷/۳۰</v>
      </c>
      <c r="D498" s="367" t="str">
        <v>قبول</v>
      </c>
      <c r="E498" s="367"/>
      <c r="F498" s="367"/>
      <c r="G498" s="367"/>
      <c r="H498" s="367"/>
      <c r="I498" s="367"/>
      <c r="J498" s="367"/>
      <c r="K498" s="367"/>
      <c r="L498" s="367"/>
      <c r="M498" s="368"/>
    </row>
    <row r="499" ht="26" customHeight="1">
      <c r="A499" s="345" t="str">
        <v>تاریخ یکتا</v>
      </c>
      <c r="B499" s="346" t="str">
        <v>۸۱</v>
      </c>
      <c r="C499" s="346" t="n">
        <v>81</v>
      </c>
      <c r="D499" s="346" t="str">
        <v>قبول</v>
      </c>
      <c r="E499" s="346"/>
      <c r="F499" s="346"/>
      <c r="G499" s="346"/>
      <c r="H499" s="346"/>
      <c r="I499" s="346"/>
      <c r="J499" s="346"/>
      <c r="K499" s="346"/>
      <c r="L499" s="346"/>
      <c r="M499" s="347"/>
    </row>
    <row r="500" ht="26" customHeight="1">
      <c r="A500" s="366" t="str">
        <v>دقیقه هر روز</v>
      </c>
      <c r="B500" s="367" t="str">
        <v>۲۴۰</v>
      </c>
      <c r="C500" s="367" t="str">
        <v>۲۴۰ برای همه روزها</v>
      </c>
      <c r="D500" s="367" t="str">
        <v>قبول</v>
      </c>
      <c r="E500" s="367"/>
      <c r="F500" s="367"/>
      <c r="G500" s="367"/>
      <c r="H500" s="367"/>
      <c r="I500" s="367"/>
      <c r="J500" s="367"/>
      <c r="K500" s="367"/>
      <c r="L500" s="367"/>
      <c r="M500" s="368"/>
    </row>
    <row r="501" ht="26" customHeight="1">
      <c r="A501" s="345" t="str">
        <v>ساختار مجاز</v>
      </c>
      <c r="B501" s="346" t="str">
        <v>۱۵۰+۹۰ یا ۱۲۰+۱۲۰</v>
      </c>
      <c r="C501" s="346" t="str">
        <v>۱۵۰+۹۰</v>
      </c>
      <c r="D501" s="346" t="str">
        <v>قبول</v>
      </c>
      <c r="E501" s="346"/>
      <c r="F501" s="346"/>
      <c r="G501" s="346"/>
      <c r="H501" s="346"/>
      <c r="I501" s="346"/>
      <c r="J501" s="346"/>
      <c r="K501" s="346"/>
      <c r="L501" s="346"/>
      <c r="M501" s="347"/>
    </row>
    <row r="502" ht="26" customHeight="1">
      <c r="A502" s="366" t="str">
        <v>حداکثر دو درس</v>
      </c>
      <c r="B502" s="367" t="str">
        <v>≤۲</v>
      </c>
      <c r="C502" s="367" t="n">
        <v>2</v>
      </c>
      <c r="D502" s="367" t="str">
        <v>قبول</v>
      </c>
      <c r="E502" s="367"/>
      <c r="F502" s="367"/>
      <c r="G502" s="367"/>
      <c r="H502" s="367"/>
      <c r="I502" s="367"/>
      <c r="J502" s="367"/>
      <c r="K502" s="367"/>
      <c r="L502" s="367"/>
      <c r="M502" s="368"/>
    </row>
    <row r="503" ht="26" customHeight="1">
      <c r="A503" s="345" t="str">
        <v>تعداد جمعه</v>
      </c>
      <c r="B503" s="346" t="str">
        <v>۱۱</v>
      </c>
      <c r="C503" s="346" t="n">
        <v>11</v>
      </c>
      <c r="D503" s="346" t="str">
        <v>قبول</v>
      </c>
      <c r="E503" s="346"/>
      <c r="F503" s="346"/>
      <c r="G503" s="346"/>
      <c r="H503" s="346"/>
      <c r="I503" s="346"/>
      <c r="J503" s="346"/>
      <c r="K503" s="346"/>
      <c r="L503" s="346"/>
      <c r="M503" s="347"/>
    </row>
    <row r="504" ht="26" customHeight="1">
      <c r="A504" s="366" t="str">
        <v>عنوان پارت دوم جمعه</v>
      </c>
      <c r="B504" s="367" t="str">
        <v>ایستگاه جبرانی و تثبیت</v>
      </c>
      <c r="C504" s="367" t="str">
        <v>در همه جمعه‌ها</v>
      </c>
      <c r="D504" s="367" t="str">
        <v>قبول</v>
      </c>
      <c r="E504" s="367"/>
      <c r="F504" s="367"/>
      <c r="G504" s="367"/>
      <c r="H504" s="367"/>
      <c r="I504" s="367"/>
      <c r="J504" s="367"/>
      <c r="K504" s="367"/>
      <c r="L504" s="367"/>
      <c r="M504" s="368"/>
    </row>
    <row r="505" ht="26" customHeight="1">
      <c r="A505" s="345" t="str">
        <v>کل دقیقه</v>
      </c>
      <c r="B505" s="346" t="str">
        <v>۱۹٬۴۴۰</v>
      </c>
      <c r="C505" s="346" t="n">
        <v>19440</v>
      </c>
      <c r="D505" s="346" t="str">
        <v>قبول</v>
      </c>
      <c r="E505" s="346"/>
      <c r="F505" s="346"/>
      <c r="G505" s="346"/>
      <c r="H505" s="346"/>
      <c r="I505" s="346"/>
      <c r="J505" s="346"/>
      <c r="K505" s="346"/>
      <c r="L505" s="346"/>
      <c r="M505" s="347"/>
    </row>
    <row r="506" ht="26" customHeight="1">
      <c r="A506" s="366" t="str">
        <v>کل ساعت</v>
      </c>
      <c r="B506" s="367" t="str">
        <v>۳۲۴</v>
      </c>
      <c r="C506" s="367" t="n">
        <v>324</v>
      </c>
      <c r="D506" s="367" t="str">
        <v>قبول</v>
      </c>
      <c r="E506" s="367"/>
      <c r="F506" s="367"/>
      <c r="G506" s="367"/>
      <c r="H506" s="367"/>
      <c r="I506" s="367"/>
      <c r="J506" s="367"/>
      <c r="K506" s="367"/>
      <c r="L506" s="367"/>
      <c r="M506" s="368"/>
    </row>
    <row r="507" ht="26" customHeight="1">
      <c r="A507" s="345" t="str">
        <v>پوشش صفحه آسیب</v>
      </c>
      <c r="B507" s="346" t="str">
        <v>۶۹۳</v>
      </c>
      <c r="C507" s="346" t="n">
        <v>693</v>
      </c>
      <c r="D507" s="346" t="str">
        <v>قبول</v>
      </c>
      <c r="E507" s="346"/>
      <c r="F507" s="346"/>
      <c r="G507" s="346"/>
      <c r="H507" s="346"/>
      <c r="I507" s="346"/>
      <c r="J507" s="346"/>
      <c r="K507" s="346"/>
      <c r="L507" s="346"/>
      <c r="M507" s="347"/>
    </row>
    <row r="508" ht="26" customHeight="1">
      <c r="A508" s="366" t="str">
        <v>پوشش صفحه پروچاسکا</v>
      </c>
      <c r="B508" s="367" t="str">
        <v>۸۵۷</v>
      </c>
      <c r="C508" s="367" t="n">
        <v>857</v>
      </c>
      <c r="D508" s="367" t="str">
        <v>قبول</v>
      </c>
      <c r="E508" s="367"/>
      <c r="F508" s="367"/>
      <c r="G508" s="367"/>
      <c r="H508" s="367"/>
      <c r="I508" s="367"/>
      <c r="J508" s="367"/>
      <c r="K508" s="367"/>
      <c r="L508" s="367"/>
      <c r="M508" s="368"/>
    </row>
    <row r="509" ht="26" customHeight="1">
      <c r="A509" s="345" t="str">
        <v>پوشش صفحه رشد جدید</v>
      </c>
      <c r="B509" s="346" t="str">
        <v>۵۲۵</v>
      </c>
      <c r="C509" s="346" t="n">
        <v>525</v>
      </c>
      <c r="D509" s="346" t="str">
        <v>قبول</v>
      </c>
      <c r="E509" s="346"/>
      <c r="F509" s="346"/>
      <c r="G509" s="346"/>
      <c r="H509" s="346"/>
      <c r="I509" s="346"/>
      <c r="J509" s="346"/>
      <c r="K509" s="346"/>
      <c r="L509" s="346"/>
      <c r="M509" s="347"/>
    </row>
    <row r="510" ht="26" customHeight="1">
      <c r="A510" s="366" t="str">
        <v>صفحه تکراری</v>
      </c>
      <c r="B510" s="367" t="str">
        <v>۰</v>
      </c>
      <c r="C510" s="367" t="str">
        <v>۰</v>
      </c>
      <c r="D510" s="367" t="str">
        <v>قبول</v>
      </c>
      <c r="E510" s="367"/>
      <c r="F510" s="367"/>
      <c r="G510" s="367"/>
      <c r="H510" s="367"/>
      <c r="I510" s="367"/>
      <c r="J510" s="367"/>
      <c r="K510" s="367"/>
      <c r="L510" s="367"/>
      <c r="M510" s="368"/>
    </row>
    <row r="511" ht="26" customHeight="1">
      <c r="A511" s="345" t="str">
        <v>صفحه مفقود</v>
      </c>
      <c r="B511" s="346" t="str">
        <v>۰</v>
      </c>
      <c r="C511" s="346" t="str">
        <v>۰</v>
      </c>
      <c r="D511" s="346" t="str">
        <v>قبول</v>
      </c>
      <c r="E511" s="346"/>
      <c r="F511" s="346"/>
      <c r="G511" s="346"/>
      <c r="H511" s="346"/>
      <c r="I511" s="346"/>
      <c r="J511" s="346"/>
      <c r="K511" s="346"/>
      <c r="L511" s="346"/>
      <c r="M511" s="347"/>
    </row>
    <row r="512" ht="26" customHeight="1">
      <c r="A512" s="366" t="str">
        <v>نسبت هفتگی آزمون</v>
      </c>
      <c r="B512" s="367" t="str">
        <v>۲۵٪ تا ۳۵٪</v>
      </c>
      <c r="C512" s="367" t="str">
        <v>همه هفته‌ها معتبر</v>
      </c>
      <c r="D512" s="367" t="str">
        <v>قبول</v>
      </c>
      <c r="E512" s="367"/>
      <c r="F512" s="367"/>
      <c r="G512" s="367"/>
      <c r="H512" s="367"/>
      <c r="I512" s="367"/>
      <c r="J512" s="367"/>
      <c r="K512" s="367"/>
      <c r="L512" s="367"/>
      <c r="M512" s="368"/>
    </row>
    <row r="513" ht="26" customHeight="1">
      <c r="A513" s="345" t="str">
        <v>نسبت کل آزمون</v>
      </c>
      <c r="B513" s="346" t="str">
        <v>۲۵٪ تا ۳۵٪</v>
      </c>
      <c r="C513" s="492" t="n">
        <v>0.28415637860082305</v>
      </c>
      <c r="D513" s="346" t="str">
        <v>قبول</v>
      </c>
      <c r="E513" s="346"/>
      <c r="F513" s="346"/>
      <c r="G513" s="346"/>
      <c r="H513" s="346"/>
      <c r="I513" s="346"/>
      <c r="J513" s="346"/>
      <c r="K513" s="346"/>
      <c r="L513" s="346"/>
      <c r="M513" s="347"/>
    </row>
    <row r="514" ht="26" customHeight="1">
      <c r="A514" s="366" t="str">
        <v>پیشرفت فرمول‌محور</v>
      </c>
      <c r="B514" s="367" t="str">
        <v>بله</v>
      </c>
      <c r="C514" s="367" t="str">
        <v>بله</v>
      </c>
      <c r="D514" s="367" t="str">
        <v>قبول</v>
      </c>
      <c r="E514" s="367" t="str">
        <v>به چک‌لیست برنامه خرد متصل است.</v>
      </c>
      <c r="F514" s="367"/>
      <c r="G514" s="367"/>
      <c r="H514" s="367"/>
      <c r="I514" s="367"/>
      <c r="J514" s="367"/>
      <c r="K514" s="367"/>
      <c r="L514" s="367"/>
      <c r="M514" s="368"/>
    </row>
    <row r="515" ht="26" customHeight="1">
      <c r="A515" s="345" t="str">
        <v>اعتبارسنجی چک‌لیست</v>
      </c>
      <c r="B515" s="346" t="str">
        <v>وجود دارد</v>
      </c>
      <c r="C515" s="346" t="str">
        <v>اعمال شد</v>
      </c>
      <c r="D515" s="346" t="str">
        <v>قبول</v>
      </c>
      <c r="E515" s="346"/>
      <c r="F515" s="346"/>
      <c r="G515" s="346"/>
      <c r="H515" s="346"/>
      <c r="I515" s="346"/>
      <c r="J515" s="346"/>
      <c r="K515" s="346"/>
      <c r="L515" s="346"/>
      <c r="M515" s="347"/>
    </row>
    <row r="516" ht="26" customHeight="1">
      <c r="A516" s="366" t="str">
        <v>اعتبارسنجی کیفیت بازیابی</v>
      </c>
      <c r="B516" s="367" t="str">
        <v>وجود دارد</v>
      </c>
      <c r="C516" s="367" t="str">
        <v>اعمال شد</v>
      </c>
      <c r="D516" s="367" t="str">
        <v>قبول</v>
      </c>
      <c r="E516" s="367"/>
      <c r="F516" s="367"/>
      <c r="G516" s="367"/>
      <c r="H516" s="367"/>
      <c r="I516" s="367"/>
      <c r="J516" s="367"/>
      <c r="K516" s="367"/>
      <c r="L516" s="367"/>
      <c r="M516" s="368"/>
    </row>
    <row r="517" ht="26" customHeight="1">
      <c r="A517" s="345" t="str">
        <v>فریز ردیف عنوان</v>
      </c>
      <c r="B517" s="346" t="str">
        <v>فعال</v>
      </c>
      <c r="C517" s="346" t="str">
        <v>فعال</v>
      </c>
      <c r="D517" s="346" t="str">
        <v>قبول</v>
      </c>
      <c r="E517" s="346"/>
      <c r="F517" s="346"/>
      <c r="G517" s="346"/>
      <c r="H517" s="346"/>
      <c r="I517" s="346"/>
      <c r="J517" s="346"/>
      <c r="K517" s="346"/>
      <c r="L517" s="346"/>
      <c r="M517" s="347"/>
    </row>
    <row r="518" ht="26" customHeight="1">
      <c r="A518" s="366" t="str">
        <v>فیلتر برنامه خرد</v>
      </c>
      <c r="B518" s="367" t="str">
        <v>فعال</v>
      </c>
      <c r="C518" s="367" t="str">
        <v>جدول اکسل ایجاد شد</v>
      </c>
      <c r="D518" s="367" t="str">
        <v>قبول</v>
      </c>
      <c r="E518" s="367"/>
      <c r="F518" s="367"/>
      <c r="G518" s="367"/>
      <c r="H518" s="367"/>
      <c r="I518" s="367"/>
      <c r="J518" s="367"/>
      <c r="K518" s="367"/>
      <c r="L518" s="367"/>
      <c r="M518" s="368"/>
    </row>
    <row r="519" ht="26" customHeight="1">
      <c r="A519" s="345" t="str">
        <v>خطوط شبکه</v>
      </c>
      <c r="B519" s="346" t="str">
        <v>مخفی</v>
      </c>
      <c r="C519" s="346" t="str">
        <v>مخفی</v>
      </c>
      <c r="D519" s="346" t="str">
        <v>قبول</v>
      </c>
      <c r="E519" s="346"/>
      <c r="F519" s="346"/>
      <c r="G519" s="346"/>
      <c r="H519" s="346"/>
      <c r="I519" s="346"/>
      <c r="J519" s="346"/>
      <c r="K519" s="346"/>
      <c r="L519" s="346"/>
      <c r="M519" s="347"/>
    </row>
    <row r="520" ht="26" customHeight="1">
      <c r="A520" s="366" t="str">
        <v>ردیف‌های متناوب</v>
      </c>
      <c r="B520" s="367" t="str">
        <v>وجود دارد</v>
      </c>
      <c r="C520" s="367" t="str">
        <v>سبک جدول</v>
      </c>
      <c r="D520" s="367" t="str">
        <v>قبول</v>
      </c>
      <c r="E520" s="367"/>
      <c r="F520" s="367"/>
      <c r="G520" s="367"/>
      <c r="H520" s="367"/>
      <c r="I520" s="367"/>
      <c r="J520" s="367"/>
      <c r="K520" s="367"/>
      <c r="L520" s="367"/>
      <c r="M520" s="368"/>
    </row>
    <row r="521" ht="26" customHeight="1">
      <c r="A521" s="345" t="str">
        <v>هایلایت جمعه</v>
      </c>
      <c r="B521" s="346" t="str">
        <v>وجود دارد</v>
      </c>
      <c r="C521" s="346" t="str">
        <v>قالب‌بندی شرطی</v>
      </c>
      <c r="D521" s="346" t="str">
        <v>قبول</v>
      </c>
      <c r="E521" s="346"/>
      <c r="F521" s="346"/>
      <c r="G521" s="346"/>
      <c r="H521" s="346"/>
      <c r="I521" s="346"/>
      <c r="J521" s="346"/>
      <c r="K521" s="346"/>
      <c r="L521" s="346"/>
      <c r="M521" s="347"/>
    </row>
    <row r="522" ht="26" customHeight="1">
      <c r="A522" s="366" t="str">
        <v>تاریخ میلادی واقعی</v>
      </c>
      <c r="B522" s="367" t="str">
        <v>۸۱ مقدار تاریخ</v>
      </c>
      <c r="C522" s="367" t="str">
        <v>۸۱ مقدار تاریخ</v>
      </c>
      <c r="D522" s="367" t="str">
        <v>قبول</v>
      </c>
      <c r="E522" s="367"/>
      <c r="F522" s="367"/>
      <c r="G522" s="367"/>
      <c r="H522" s="367"/>
      <c r="I522" s="367"/>
      <c r="J522" s="367"/>
      <c r="K522" s="367"/>
      <c r="L522" s="367"/>
      <c r="M522" s="368"/>
    </row>
    <row r="523" ht="26" customHeight="1">
      <c r="A523" s="345" t="str">
        <v>ستون‌های کمکی</v>
      </c>
      <c r="B523" s="346" t="str">
        <v>وجود دارد</v>
      </c>
      <c r="C523" s="346" t="str">
        <v>۳۱ ستون کمکی</v>
      </c>
      <c r="D523" s="346" t="str">
        <v>قبول</v>
      </c>
      <c r="E523" s="346"/>
      <c r="F523" s="346"/>
      <c r="G523" s="346"/>
      <c r="H523" s="346"/>
      <c r="I523" s="346"/>
      <c r="J523" s="346"/>
      <c r="K523" s="346"/>
      <c r="L523" s="346"/>
      <c r="M523" s="347"/>
    </row>
    <row r="524" ht="26" customHeight="1">
      <c r="A524" s="366" t="str">
        <v>پایان دور نخست هر منبع</v>
      </c>
      <c r="B524" s="367" t="str">
        <v>محاسبه‌شده</v>
      </c>
      <c r="C524" s="367" t="str">
        <v>محاسبه‌شده</v>
      </c>
      <c r="D524" s="367" t="str">
        <v>قبول</v>
      </c>
      <c r="E524" s="367"/>
      <c r="F524" s="367"/>
      <c r="G524" s="367"/>
      <c r="H524" s="367"/>
      <c r="I524" s="367"/>
      <c r="J524" s="367"/>
      <c r="K524" s="367"/>
      <c r="L524" s="367"/>
      <c r="M524" s="368"/>
    </row>
    <row r="525" ht="26" customHeight="1">
      <c r="A525" s="345" t="str">
        <v>پایان دور نخست کل</v>
      </c>
      <c r="B525" s="346" t="str">
        <v>محاسبه‌شده</v>
      </c>
      <c r="C525" s="346" t="str">
        <v>۱۴۰۵/۰۷/۲۲</v>
      </c>
      <c r="D525" s="346" t="str">
        <v>قبول</v>
      </c>
      <c r="E525" s="346"/>
      <c r="F525" s="346"/>
      <c r="G525" s="346"/>
      <c r="H525" s="346"/>
      <c r="I525" s="346"/>
      <c r="J525" s="346"/>
      <c r="K525" s="346"/>
      <c r="L525" s="346"/>
      <c r="M525" s="347"/>
    </row>
    <row r="526" ht="26" customHeight="1">
      <c r="A526" s="366"/>
      <c r="B526" s="367"/>
      <c r="C526" s="367"/>
      <c r="D526" s="367"/>
      <c r="E526" s="367"/>
      <c r="F526" s="367"/>
      <c r="G526" s="367"/>
      <c r="H526" s="367"/>
      <c r="I526" s="367"/>
      <c r="J526" s="367"/>
      <c r="K526" s="367"/>
      <c r="L526" s="367"/>
      <c r="M526" s="368"/>
    </row>
    <row r="527" ht="26" customHeight="1">
      <c r="A527" s="345"/>
      <c r="B527" s="346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7"/>
    </row>
    <row r="528" ht="26" customHeight="1">
      <c r="A528" s="663" t="str">
        <v>بخش ح — هشدارهای حل‌نشده</v>
      </c>
      <c r="B528" s="664"/>
      <c r="C528" s="664"/>
      <c r="D528" s="664"/>
      <c r="E528" s="664"/>
      <c r="F528" s="664"/>
      <c r="G528" s="664"/>
      <c r="H528" s="664"/>
      <c r="I528" s="664"/>
      <c r="J528" s="664"/>
      <c r="K528" s="664"/>
      <c r="L528" s="664"/>
      <c r="M528" s="665"/>
    </row>
    <row r="529" ht="26" customHeight="1">
      <c r="A529" s="515" t="str">
        <v>نوع هشدار</v>
      </c>
      <c r="B529" s="516" t="str">
        <v>منبع</v>
      </c>
      <c r="C529" s="516" t="str">
        <v>شرح</v>
      </c>
      <c r="D529" s="516" t="str">
        <v>اثر بر برنامه</v>
      </c>
      <c r="E529" s="516" t="str">
        <v>وضعیت</v>
      </c>
      <c r="F529" s="516"/>
      <c r="G529" s="516"/>
      <c r="H529" s="516"/>
      <c r="I529" s="516"/>
      <c r="J529" s="516"/>
      <c r="K529" s="516"/>
      <c r="L529" s="516"/>
      <c r="M529" s="517"/>
    </row>
    <row r="530" ht="26" customHeight="1">
      <c r="A530" s="561" t="str">
        <v>سرعت مطالعه</v>
      </c>
      <c r="B530" s="562" t="str">
        <v>هر سه منبع</v>
      </c>
      <c r="C530" s="562" t="str">
        <v>سرعت واقعی کاربر ثبت نشده است.</v>
      </c>
      <c r="D530" s="562" t="str">
        <v>امکان‌پذیری مشروط به سرعت محاسبه‌شده است.</v>
      </c>
      <c r="E530" s="562" t="str">
        <v>باز</v>
      </c>
      <c r="F530" s="562"/>
      <c r="G530" s="562"/>
      <c r="H530" s="562"/>
      <c r="I530" s="562"/>
      <c r="J530" s="562"/>
      <c r="K530" s="562"/>
      <c r="L530" s="562"/>
      <c r="M530" s="563"/>
    </row>
    <row r="531" ht="26" customHeight="1">
      <c r="A531" s="345" t="str">
        <v>کتاب‌شناسی</v>
      </c>
      <c r="B531" s="346" t="str">
        <v>پروچاسکا و رشد</v>
      </c>
      <c r="C531" s="346" t="str">
        <v>مترجم و چاپ به درخواست کاربر نامشخص مانده است.</v>
      </c>
      <c r="D531" s="346" t="str">
        <v>در محاسبات صفحه‌ای اثر ندارد؛ در ممیزی ثبت شده است.</v>
      </c>
      <c r="E531" s="346" t="str">
        <v>باز</v>
      </c>
      <c r="F531" s="346"/>
      <c r="G531" s="346"/>
      <c r="H531" s="346"/>
      <c r="I531" s="346"/>
      <c r="J531" s="346"/>
      <c r="K531" s="346"/>
      <c r="L531" s="346"/>
      <c r="M531" s="347"/>
    </row>
    <row r="532" ht="26" customHeight="1">
      <c r="A532" s="561" t="str">
        <v>دامنه منبع</v>
      </c>
      <c r="B532" s="562" t="str">
        <v>رشد کرین</v>
      </c>
      <c r="C532" s="562" t="str">
        <v>پایان صریح ۵۸۰ باعث خروج فصل ۱۸ از برنامه شده است.</v>
      </c>
      <c r="D532" s="562" t="str">
        <v>برنامه دقیقاً تا صفحه اعلام‌شده اجرا شده است.</v>
      </c>
      <c r="E532" s="562" t="str">
        <v>ثبت‌شده</v>
      </c>
      <c r="F532" s="562"/>
      <c r="G532" s="562"/>
      <c r="H532" s="562"/>
      <c r="I532" s="562"/>
      <c r="J532" s="562"/>
      <c r="K532" s="562"/>
      <c r="L532" s="562"/>
      <c r="M532" s="563"/>
    </row>
    <row r="533" ht="26" customHeight="1">
      <c r="A533" s="345" t="str">
        <v>تست</v>
      </c>
      <c r="B533" s="346" t="str">
        <v>پروچاسکا</v>
      </c>
      <c r="C533" s="346" t="str">
        <v>بانک و بازه تست مشخص نشده است.</v>
      </c>
      <c r="D533" s="346" t="str">
        <v>تعداد لازم تعیین شده؛ شماره تست ساختگی درج نشده است.</v>
      </c>
      <c r="E533" s="346" t="str">
        <v>باز</v>
      </c>
      <c r="F533" s="346"/>
      <c r="G533" s="346"/>
      <c r="H533" s="346"/>
      <c r="I533" s="346"/>
      <c r="J533" s="346"/>
      <c r="K533" s="346"/>
      <c r="L533" s="346"/>
      <c r="M533" s="347"/>
    </row>
    <row r="534" ht="26" customHeight="1">
      <c r="A534" s="366"/>
      <c r="B534" s="367"/>
      <c r="C534" s="367"/>
      <c r="D534" s="367"/>
      <c r="E534" s="367"/>
      <c r="F534" s="367"/>
      <c r="G534" s="367"/>
      <c r="H534" s="367"/>
      <c r="I534" s="367"/>
      <c r="J534" s="367"/>
      <c r="K534" s="367"/>
      <c r="L534" s="367"/>
      <c r="M534" s="368"/>
    </row>
    <row r="535" ht="26" customHeight="1">
      <c r="A535" s="345"/>
      <c r="B535" s="346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7"/>
    </row>
    <row r="536" ht="26" customHeight="1">
      <c r="A536" s="366"/>
      <c r="B536" s="367"/>
      <c r="C536" s="367"/>
      <c r="D536" s="367"/>
      <c r="E536" s="367"/>
      <c r="F536" s="367"/>
      <c r="G536" s="367"/>
      <c r="H536" s="367"/>
      <c r="I536" s="367"/>
      <c r="J536" s="367"/>
      <c r="K536" s="367"/>
      <c r="L536" s="367"/>
      <c r="M536" s="368"/>
    </row>
    <row r="537" ht="26" customHeight="1">
      <c r="A537" s="345"/>
      <c r="B537" s="346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7"/>
    </row>
    <row r="538" ht="26" customHeight="1">
      <c r="A538" s="366"/>
      <c r="B538" s="367"/>
      <c r="C538" s="367"/>
      <c r="D538" s="367"/>
      <c r="E538" s="367"/>
      <c r="F538" s="367"/>
      <c r="G538" s="367"/>
      <c r="H538" s="367"/>
      <c r="I538" s="367"/>
      <c r="J538" s="367"/>
      <c r="K538" s="367"/>
      <c r="L538" s="367"/>
      <c r="M538" s="368"/>
    </row>
    <row r="539" ht="26" customHeight="1">
      <c r="A539" s="345"/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7"/>
    </row>
    <row r="540" ht="26" customHeight="1">
      <c r="A540" s="366"/>
      <c r="B540" s="367"/>
      <c r="C540" s="367"/>
      <c r="D540" s="367"/>
      <c r="E540" s="367"/>
      <c r="F540" s="367"/>
      <c r="G540" s="367"/>
      <c r="H540" s="367"/>
      <c r="I540" s="367"/>
      <c r="J540" s="367"/>
      <c r="K540" s="367"/>
      <c r="L540" s="367"/>
      <c r="M540" s="368"/>
    </row>
    <row r="541" ht="26" customHeight="1">
      <c r="A541" s="345"/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7"/>
    </row>
    <row r="542" ht="26" customHeight="1">
      <c r="A542" s="366"/>
      <c r="B542" s="367"/>
      <c r="C542" s="367"/>
      <c r="D542" s="367"/>
      <c r="E542" s="367"/>
      <c r="F542" s="367"/>
      <c r="G542" s="367"/>
      <c r="H542" s="367"/>
      <c r="I542" s="367"/>
      <c r="J542" s="367"/>
      <c r="K542" s="367"/>
      <c r="L542" s="367"/>
      <c r="M542" s="368"/>
    </row>
    <row r="543" ht="26" customHeight="1">
      <c r="A543" s="345"/>
      <c r="B543" s="346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7"/>
    </row>
    <row r="544" ht="26" customHeight="1">
      <c r="A544" s="366"/>
      <c r="B544" s="367"/>
      <c r="C544" s="367"/>
      <c r="D544" s="367"/>
      <c r="E544" s="367"/>
      <c r="F544" s="367"/>
      <c r="G544" s="367"/>
      <c r="H544" s="367"/>
      <c r="I544" s="367"/>
      <c r="J544" s="367"/>
      <c r="K544" s="367"/>
      <c r="L544" s="367"/>
      <c r="M544" s="368"/>
    </row>
    <row r="545" ht="26" customHeight="1">
      <c r="A545" s="345"/>
      <c r="B545" s="346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7"/>
    </row>
    <row r="546" ht="26" customHeight="1">
      <c r="A546" s="366"/>
      <c r="B546" s="367"/>
      <c r="C546" s="367"/>
      <c r="D546" s="367"/>
      <c r="E546" s="367"/>
      <c r="F546" s="367"/>
      <c r="G546" s="367"/>
      <c r="H546" s="367"/>
      <c r="I546" s="367"/>
      <c r="J546" s="367"/>
      <c r="K546" s="367"/>
      <c r="L546" s="367"/>
      <c r="M546" s="368"/>
    </row>
    <row r="547" ht="26" customHeight="1">
      <c r="A547" s="345"/>
      <c r="B547" s="346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7"/>
    </row>
    <row r="548" ht="26" customHeight="1">
      <c r="A548" s="366"/>
      <c r="B548" s="367"/>
      <c r="C548" s="367"/>
      <c r="D548" s="367"/>
      <c r="E548" s="367"/>
      <c r="F548" s="367"/>
      <c r="G548" s="367"/>
      <c r="H548" s="367"/>
      <c r="I548" s="367"/>
      <c r="J548" s="367"/>
      <c r="K548" s="367"/>
      <c r="L548" s="367"/>
      <c r="M548" s="368"/>
    </row>
    <row r="549" ht="26" customHeight="1">
      <c r="A549" s="345"/>
      <c r="B549" s="346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7"/>
    </row>
    <row r="550" ht="26" customHeight="1">
      <c r="A550" s="366"/>
      <c r="B550" s="367"/>
      <c r="C550" s="367"/>
      <c r="D550" s="367"/>
      <c r="E550" s="367"/>
      <c r="F550" s="367"/>
      <c r="G550" s="367"/>
      <c r="H550" s="367"/>
      <c r="I550" s="367"/>
      <c r="J550" s="367"/>
      <c r="K550" s="367"/>
      <c r="L550" s="367"/>
      <c r="M550" s="368"/>
    </row>
    <row r="551" ht="26" customHeight="1">
      <c r="A551" s="345"/>
      <c r="B551" s="346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7"/>
    </row>
    <row r="552" ht="26" customHeight="1">
      <c r="A552" s="366"/>
      <c r="B552" s="367"/>
      <c r="C552" s="367"/>
      <c r="D552" s="367"/>
      <c r="E552" s="367"/>
      <c r="F552" s="367"/>
      <c r="G552" s="367"/>
      <c r="H552" s="367"/>
      <c r="I552" s="367"/>
      <c r="J552" s="367"/>
      <c r="K552" s="367"/>
      <c r="L552" s="367"/>
      <c r="M552" s="368"/>
    </row>
    <row r="553" ht="26" customHeight="1">
      <c r="A553" s="345"/>
      <c r="B553" s="346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7"/>
    </row>
    <row r="554" ht="26" customHeight="1">
      <c r="A554" s="366"/>
      <c r="B554" s="367"/>
      <c r="C554" s="367"/>
      <c r="D554" s="367"/>
      <c r="E554" s="367"/>
      <c r="F554" s="367"/>
      <c r="G554" s="367"/>
      <c r="H554" s="367"/>
      <c r="I554" s="367"/>
      <c r="J554" s="367"/>
      <c r="K554" s="367"/>
      <c r="L554" s="367"/>
      <c r="M554" s="368"/>
    </row>
    <row r="555" ht="26" customHeight="1">
      <c r="A555" s="345"/>
      <c r="B555" s="346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7"/>
    </row>
    <row r="556" ht="26" customHeight="1">
      <c r="A556" s="366"/>
      <c r="B556" s="367"/>
      <c r="C556" s="367"/>
      <c r="D556" s="367"/>
      <c r="E556" s="367"/>
      <c r="F556" s="367"/>
      <c r="G556" s="367"/>
      <c r="H556" s="367"/>
      <c r="I556" s="367"/>
      <c r="J556" s="367"/>
      <c r="K556" s="367"/>
      <c r="L556" s="367"/>
      <c r="M556" s="368"/>
    </row>
    <row r="557" ht="26" customHeight="1">
      <c r="A557" s="345"/>
      <c r="B557" s="346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7"/>
    </row>
    <row r="558" ht="26" customHeight="1">
      <c r="A558" s="366"/>
      <c r="B558" s="367"/>
      <c r="C558" s="367"/>
      <c r="D558" s="367"/>
      <c r="E558" s="367"/>
      <c r="F558" s="367"/>
      <c r="G558" s="367"/>
      <c r="H558" s="367"/>
      <c r="I558" s="367"/>
      <c r="J558" s="367"/>
      <c r="K558" s="367"/>
      <c r="L558" s="367"/>
      <c r="M558" s="368"/>
    </row>
    <row r="559" ht="26" customHeight="1">
      <c r="A559" s="345"/>
      <c r="B559" s="346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7"/>
    </row>
    <row r="560" ht="26" customHeight="1">
      <c r="A560" s="366"/>
      <c r="B560" s="367"/>
      <c r="C560" s="367"/>
      <c r="D560" s="367"/>
      <c r="E560" s="367"/>
      <c r="F560" s="367"/>
      <c r="G560" s="367"/>
      <c r="H560" s="367"/>
      <c r="I560" s="367"/>
      <c r="J560" s="367"/>
      <c r="K560" s="367"/>
      <c r="L560" s="367"/>
      <c r="M560" s="368"/>
    </row>
    <row r="561" ht="26" customHeight="1">
      <c r="A561" s="345"/>
      <c r="B561" s="346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7"/>
    </row>
    <row r="562" ht="26" customHeight="1">
      <c r="A562" s="366"/>
      <c r="B562" s="367"/>
      <c r="C562" s="367"/>
      <c r="D562" s="367"/>
      <c r="E562" s="367"/>
      <c r="F562" s="367"/>
      <c r="G562" s="367"/>
      <c r="H562" s="367"/>
      <c r="I562" s="367"/>
      <c r="J562" s="367"/>
      <c r="K562" s="367"/>
      <c r="L562" s="367"/>
      <c r="M562" s="368"/>
    </row>
    <row r="563" ht="26" customHeight="1">
      <c r="A563" s="345"/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7"/>
    </row>
    <row r="564" ht="26" customHeight="1">
      <c r="A564" s="366"/>
      <c r="B564" s="367"/>
      <c r="C564" s="367"/>
      <c r="D564" s="367"/>
      <c r="E564" s="367"/>
      <c r="F564" s="367"/>
      <c r="G564" s="367"/>
      <c r="H564" s="367"/>
      <c r="I564" s="367"/>
      <c r="J564" s="367"/>
      <c r="K564" s="367"/>
      <c r="L564" s="367"/>
      <c r="M564" s="368"/>
    </row>
    <row r="565" ht="26" customHeight="1">
      <c r="A565" s="345"/>
      <c r="B565" s="346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7"/>
    </row>
    <row r="566" ht="26" customHeight="1">
      <c r="A566" s="366"/>
      <c r="B566" s="367"/>
      <c r="C566" s="367"/>
      <c r="D566" s="367"/>
      <c r="E566" s="367"/>
      <c r="F566" s="367"/>
      <c r="G566" s="367"/>
      <c r="H566" s="367"/>
      <c r="I566" s="367"/>
      <c r="J566" s="367"/>
      <c r="K566" s="367"/>
      <c r="L566" s="367"/>
      <c r="M566" s="368"/>
    </row>
    <row r="567" ht="26" customHeight="1">
      <c r="A567" s="345"/>
      <c r="B567" s="346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7"/>
    </row>
    <row r="568" ht="26" customHeight="1">
      <c r="A568" s="366"/>
      <c r="B568" s="367"/>
      <c r="C568" s="367"/>
      <c r="D568" s="367"/>
      <c r="E568" s="367"/>
      <c r="F568" s="367"/>
      <c r="G568" s="367"/>
      <c r="H568" s="367"/>
      <c r="I568" s="367"/>
      <c r="J568" s="367"/>
      <c r="K568" s="367"/>
      <c r="L568" s="367"/>
      <c r="M568" s="368"/>
    </row>
    <row r="569" ht="26" customHeight="1">
      <c r="A569" s="345"/>
      <c r="B569" s="346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7"/>
    </row>
    <row r="570" ht="26" customHeight="1">
      <c r="A570" s="366"/>
      <c r="B570" s="367"/>
      <c r="C570" s="367"/>
      <c r="D570" s="367"/>
      <c r="E570" s="367"/>
      <c r="F570" s="367"/>
      <c r="G570" s="367"/>
      <c r="H570" s="367"/>
      <c r="I570" s="367"/>
      <c r="J570" s="367"/>
      <c r="K570" s="367"/>
      <c r="L570" s="367"/>
      <c r="M570" s="368"/>
    </row>
    <row r="571" ht="26" customHeight="1">
      <c r="A571" s="345"/>
      <c r="B571" s="346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7"/>
    </row>
    <row r="572" ht="26" customHeight="1">
      <c r="A572" s="366"/>
      <c r="B572" s="367"/>
      <c r="C572" s="367"/>
      <c r="D572" s="367"/>
      <c r="E572" s="367"/>
      <c r="F572" s="367"/>
      <c r="G572" s="367"/>
      <c r="H572" s="367"/>
      <c r="I572" s="367"/>
      <c r="J572" s="367"/>
      <c r="K572" s="367"/>
      <c r="L572" s="367"/>
      <c r="M572" s="368"/>
    </row>
    <row r="573" ht="26" customHeight="1">
      <c r="A573" s="345"/>
      <c r="B573" s="346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7"/>
    </row>
    <row r="574" ht="26" customHeight="1">
      <c r="A574" s="366"/>
      <c r="B574" s="367"/>
      <c r="C574" s="367"/>
      <c r="D574" s="367"/>
      <c r="E574" s="367"/>
      <c r="F574" s="367"/>
      <c r="G574" s="367"/>
      <c r="H574" s="367"/>
      <c r="I574" s="367"/>
      <c r="J574" s="367"/>
      <c r="K574" s="367"/>
      <c r="L574" s="367"/>
      <c r="M574" s="368"/>
    </row>
    <row r="575" ht="26" customHeight="1">
      <c r="A575" s="345"/>
      <c r="B575" s="346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7"/>
    </row>
    <row r="576" ht="26" customHeight="1">
      <c r="A576" s="366"/>
      <c r="B576" s="367"/>
      <c r="C576" s="367"/>
      <c r="D576" s="367"/>
      <c r="E576" s="367"/>
      <c r="F576" s="367"/>
      <c r="G576" s="367"/>
      <c r="H576" s="367"/>
      <c r="I576" s="367"/>
      <c r="J576" s="367"/>
      <c r="K576" s="367"/>
      <c r="L576" s="367"/>
      <c r="M576" s="368"/>
    </row>
    <row r="577" ht="26" customHeight="1">
      <c r="A577" s="345"/>
      <c r="B577" s="346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7"/>
    </row>
    <row r="578" ht="26" customHeight="1">
      <c r="A578" s="366"/>
      <c r="B578" s="367"/>
      <c r="C578" s="367"/>
      <c r="D578" s="367"/>
      <c r="E578" s="367"/>
      <c r="F578" s="367"/>
      <c r="G578" s="367"/>
      <c r="H578" s="367"/>
      <c r="I578" s="367"/>
      <c r="J578" s="367"/>
      <c r="K578" s="367"/>
      <c r="L578" s="367"/>
      <c r="M578" s="368"/>
    </row>
    <row r="579" ht="26" customHeight="1">
      <c r="A579" s="345"/>
      <c r="B579" s="346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7"/>
    </row>
    <row r="580" ht="26" customHeight="1">
      <c r="A580" s="366"/>
      <c r="B580" s="367"/>
      <c r="C580" s="367"/>
      <c r="D580" s="367"/>
      <c r="E580" s="367"/>
      <c r="F580" s="367"/>
      <c r="G580" s="367"/>
      <c r="H580" s="367"/>
      <c r="I580" s="367"/>
      <c r="J580" s="367"/>
      <c r="K580" s="367"/>
      <c r="L580" s="367"/>
      <c r="M580" s="368"/>
    </row>
    <row r="581" ht="26" customHeight="1">
      <c r="A581" s="345"/>
      <c r="B581" s="346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7"/>
    </row>
    <row r="582" ht="26" customHeight="1">
      <c r="A582" s="366"/>
      <c r="B582" s="367"/>
      <c r="C582" s="367"/>
      <c r="D582" s="367"/>
      <c r="E582" s="367"/>
      <c r="F582" s="367"/>
      <c r="G582" s="367"/>
      <c r="H582" s="367"/>
      <c r="I582" s="367"/>
      <c r="J582" s="367"/>
      <c r="K582" s="367"/>
      <c r="L582" s="367"/>
      <c r="M582" s="368"/>
    </row>
    <row r="583" ht="26" customHeight="1">
      <c r="A583" s="345"/>
      <c r="B583" s="346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7"/>
    </row>
    <row r="584" ht="26" customHeight="1">
      <c r="A584" s="366"/>
      <c r="B584" s="367"/>
      <c r="C584" s="367"/>
      <c r="D584" s="367"/>
      <c r="E584" s="367"/>
      <c r="F584" s="367"/>
      <c r="G584" s="367"/>
      <c r="H584" s="367"/>
      <c r="I584" s="367"/>
      <c r="J584" s="367"/>
      <c r="K584" s="367"/>
      <c r="L584" s="367"/>
      <c r="M584" s="368"/>
    </row>
    <row r="585" ht="26" customHeight="1">
      <c r="A585" s="345"/>
      <c r="B585" s="346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7"/>
    </row>
    <row r="586" ht="26" customHeight="1">
      <c r="A586" s="366"/>
      <c r="B586" s="367"/>
      <c r="C586" s="367"/>
      <c r="D586" s="367"/>
      <c r="E586" s="367"/>
      <c r="F586" s="367"/>
      <c r="G586" s="367"/>
      <c r="H586" s="367"/>
      <c r="I586" s="367"/>
      <c r="J586" s="367"/>
      <c r="K586" s="367"/>
      <c r="L586" s="367"/>
      <c r="M586" s="368"/>
    </row>
    <row r="587" ht="26" customHeight="1">
      <c r="A587" s="345"/>
      <c r="B587" s="346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7"/>
    </row>
    <row r="588" ht="26" customHeight="1">
      <c r="A588" s="366"/>
      <c r="B588" s="367"/>
      <c r="C588" s="367"/>
      <c r="D588" s="367"/>
      <c r="E588" s="367"/>
      <c r="F588" s="367"/>
      <c r="G588" s="367"/>
      <c r="H588" s="367"/>
      <c r="I588" s="367"/>
      <c r="J588" s="367"/>
      <c r="K588" s="367"/>
      <c r="L588" s="367"/>
      <c r="M588" s="368"/>
    </row>
    <row r="589" ht="26" customHeight="1">
      <c r="A589" s="345"/>
      <c r="B589" s="346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7"/>
    </row>
    <row r="590" ht="26" customHeight="1">
      <c r="A590" s="366"/>
      <c r="B590" s="367"/>
      <c r="C590" s="367"/>
      <c r="D590" s="367"/>
      <c r="E590" s="367"/>
      <c r="F590" s="367"/>
      <c r="G590" s="367"/>
      <c r="H590" s="367"/>
      <c r="I590" s="367"/>
      <c r="J590" s="367"/>
      <c r="K590" s="367"/>
      <c r="L590" s="367"/>
      <c r="M590" s="368"/>
    </row>
    <row r="591" ht="26" customHeight="1">
      <c r="A591" s="345"/>
      <c r="B591" s="346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7"/>
    </row>
    <row r="592" ht="26" customHeight="1">
      <c r="A592" s="366"/>
      <c r="B592" s="367"/>
      <c r="C592" s="367"/>
      <c r="D592" s="367"/>
      <c r="E592" s="367"/>
      <c r="F592" s="367"/>
      <c r="G592" s="367"/>
      <c r="H592" s="367"/>
      <c r="I592" s="367"/>
      <c r="J592" s="367"/>
      <c r="K592" s="367"/>
      <c r="L592" s="367"/>
      <c r="M592" s="368"/>
    </row>
    <row r="593" ht="26" customHeight="1">
      <c r="A593" s="345"/>
      <c r="B593" s="346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7"/>
    </row>
    <row r="594" ht="26" customHeight="1">
      <c r="A594" s="366"/>
      <c r="B594" s="367"/>
      <c r="C594" s="367"/>
      <c r="D594" s="367"/>
      <c r="E594" s="367"/>
      <c r="F594" s="367"/>
      <c r="G594" s="367"/>
      <c r="H594" s="367"/>
      <c r="I594" s="367"/>
      <c r="J594" s="367"/>
      <c r="K594" s="367"/>
      <c r="L594" s="367"/>
      <c r="M594" s="368"/>
    </row>
    <row r="595" ht="26" customHeight="1">
      <c r="A595" s="345"/>
      <c r="B595" s="346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7"/>
    </row>
    <row r="596" ht="26" customHeight="1">
      <c r="A596" s="366"/>
      <c r="B596" s="367"/>
      <c r="C596" s="367"/>
      <c r="D596" s="367"/>
      <c r="E596" s="367"/>
      <c r="F596" s="367"/>
      <c r="G596" s="367"/>
      <c r="H596" s="367"/>
      <c r="I596" s="367"/>
      <c r="J596" s="367"/>
      <c r="K596" s="367"/>
      <c r="L596" s="367"/>
      <c r="M596" s="368"/>
    </row>
    <row r="597" ht="26" customHeight="1">
      <c r="A597" s="345"/>
      <c r="B597" s="346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7"/>
    </row>
    <row r="598" ht="26" customHeight="1">
      <c r="A598" s="366"/>
      <c r="B598" s="367"/>
      <c r="C598" s="367"/>
      <c r="D598" s="367"/>
      <c r="E598" s="367"/>
      <c r="F598" s="367"/>
      <c r="G598" s="367"/>
      <c r="H598" s="367"/>
      <c r="I598" s="367"/>
      <c r="J598" s="367"/>
      <c r="K598" s="367"/>
      <c r="L598" s="367"/>
      <c r="M598" s="368"/>
    </row>
    <row r="599" ht="26" customHeight="1">
      <c r="A599" s="345"/>
      <c r="B599" s="346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7"/>
    </row>
    <row r="600" ht="26" customHeight="1">
      <c r="A600" s="369"/>
      <c r="B600" s="370"/>
      <c r="C600" s="370"/>
      <c r="D600" s="370"/>
      <c r="E600" s="370"/>
      <c r="F600" s="370"/>
      <c r="G600" s="370"/>
      <c r="H600" s="370"/>
      <c r="I600" s="370"/>
      <c r="J600" s="370"/>
      <c r="K600" s="370"/>
      <c r="L600" s="370"/>
      <c r="M600" s="371"/>
    </row>
  </sheetData>
  <mergeCells>
    <mergeCell ref="A1:K2"/>
    <mergeCell ref="A4:K4"/>
    <mergeCell ref="A11:K11"/>
    <mergeCell ref="A71:K71"/>
    <mergeCell ref="A83:K83"/>
    <mergeCell ref="A90:K90"/>
    <mergeCell ref="A106:K106"/>
    <mergeCell ref="A493:K493"/>
    <mergeCell ref="A528:K528"/>
  </mergeCells>
  <conditionalFormatting sqref="D1:D600">
    <cfRule type="expression" dxfId="33" priority="1">
      <formula>D1="قبول"</formula>
    </cfRule>
  </conditionalFormatting>
  <conditionalFormatting sqref="J1:J600">
    <cfRule type="expression" dxfId="34" priority="2">
      <formula>J1="معتبر"</formula>
    </cfRule>
  </conditionalFormatting>
  <conditionalFormatting sqref="K1:K600">
    <cfRule type="expression" dxfId="35" priority="3">
      <formula>K1="تطبیق کامل"</formula>
    </cfRule>
  </conditionalFormatting>
  <conditionalFormatting sqref="E1:E600">
    <cfRule type="expression" dxfId="36" priority="4">
      <formula>E1="باز"</formula>
    </cfRule>
    <cfRule type="expression" dxfId="37" priority="5">
      <formula>E1="ثبت‌شده"</formula>
    </cfRule>
  </conditionalFormatting>
  <conditionalFormatting sqref="I1:I600">
    <cfRule type="colorScale" priority="6">
      <colorScale>
        <cfvo type="min"/>
        <cfvo type="percentile" val="50"/>
        <cfvo type="max"/>
        <color rgb="FFFDECEC"/>
        <color rgb="FFFFF7E6"/>
        <color rgb="FFECFDF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 rightToLeft="1"/>
  </sheetViews>
  <sheetFormatPr defaultRowHeight="15"/>
  <cols>
    <col min="1" max="1" width="15" hidden="0" customWidth="1"/>
    <col min="2" max="2" width="12" hidden="0" customWidth="1"/>
    <col min="3" max="3" width="9" hidden="0" customWidth="1"/>
    <col min="4" max="4" width="34" hidden="0" customWidth="1"/>
    <col min="5" max="5" width="38" hidden="0" customWidth="1"/>
    <col min="6" max="6" width="17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4" hidden="0" customWidth="1"/>
    <col min="12" max="12" width="14" hidden="0" customWidth="1"/>
    <col min="13" max="13" width="13" hidden="0" customWidth="1"/>
    <col min="14" max="14" width="12" hidden="0" customWidth="1"/>
    <col min="15" max="15" width="16" hidden="0" customWidth="1"/>
    <col min="16" max="16" width="12" hidden="0" customWidth="1"/>
    <col min="17" max="17" width="17" hidden="0" customWidth="1"/>
    <col min="18" max="18" width="13" hidden="0" customWidth="1"/>
    <col min="19" max="19" width="13" hidden="0" customWidth="1"/>
    <col min="20" max="20" width="30" hidden="0" customWidth="1"/>
    <col min="21" max="21" width="30" hidden="0" customWidth="1"/>
    <col min="22" max="22" width="30" hidden="0" customWidth="1"/>
    <col min="23" max="23" width="16" hidden="0" customWidth="1"/>
    <col min="24" max="24" width="13" hidden="0" customWidth="1"/>
    <col min="25" max="25" width="17" hidden="0" customWidth="1"/>
    <col min="26" max="26" width="0.10000000149011612" hidden="0" customWidth="1"/>
    <col min="27" max="27" width="0.10000000149011612" hidden="0" customWidth="1"/>
    <col min="42" max="42" width="0.10000000149011612" hidden="0" customWidth="1"/>
    <col min="43" max="43" width="0.10000000149011612" hidden="0" customWidth="1"/>
    <col min="44" max="44" width="0.10000000149011612" hidden="0" customWidth="1"/>
    <col min="29" max="29" width="0.10000000149011612" hidden="0" customWidth="1"/>
    <col min="30" max="30" width="0.10000000149011612" hidden="0" customWidth="1"/>
    <col min="31" max="31" width="0.10000000149011612" hidden="0" customWidth="1"/>
    <col min="32" max="32" width="0.10000000149011612" hidden="0" customWidth="1"/>
    <col min="33" max="33" width="0.10000000149011612" hidden="0" customWidth="1"/>
    <col min="34" max="34" width="0.10000000149011612" hidden="0" customWidth="1"/>
    <col min="35" max="35" width="0.10000000149011612" hidden="0" customWidth="1"/>
    <col min="36" max="36" width="0.10000000149011612" hidden="0" customWidth="1"/>
    <col min="37" max="37" width="0.10000000149011612" hidden="0" customWidth="1"/>
    <col min="38" max="38" width="0.10000000149011612" hidden="0" customWidth="1"/>
    <col min="39" max="39" width="0.10000000149011612" hidden="0" customWidth="1"/>
    <col min="40" max="40" width="0.10000000149011612" hidden="0" customWidth="1"/>
    <col min="41" max="41" width="0.10000000149011612" hidden="0" customWidth="1"/>
  </cols>
  <sheetData>
    <row r="1">
      <c r="A1" s="274" t="str">
        <v>گزارش روزانهٔ مطالعه و سنجش میزان عمل به برنامه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61"/>
      <c r="AA1" s="61"/>
      <c r="AB1" s="61"/>
      <c r="AC1" s="1269" t="str">
        <v>تاریخ</v>
      </c>
      <c r="AD1" s="1269" t="str">
        <v>دقیقه برنامه</v>
      </c>
      <c r="AE1" s="1269" t="str">
        <v>دقیقه واقعی</v>
      </c>
      <c r="AF1" s="1269" t="str">
        <v>تحقق زمانی</v>
      </c>
      <c r="AG1" s="1269" t="str">
        <v>صفحات برنامه</v>
      </c>
      <c r="AH1" s="1269" t="str">
        <v>صفحات واقعی</v>
      </c>
      <c r="AI1" s="1269" t="str">
        <v>امتیاز چک‌لیست</v>
      </c>
      <c r="AJ1" s="1269" t="str">
        <v>امتیاز گزارش</v>
      </c>
      <c r="AK1" s="1269" t="str">
        <v>تمرکز</v>
      </c>
      <c r="AL1" s="1269" t="str">
        <v>انرژی</v>
      </c>
      <c r="AM1" s="1269" t="str">
        <v>تنظیم پنجره</v>
      </c>
      <c r="AN1" s="1269" t="str">
        <v>مقدار</v>
      </c>
      <c r="AO1" s="61"/>
      <c r="AP1" s="61" t="str">
        <v>تاریخ</v>
      </c>
      <c r="AQ1" s="61" t="str">
        <v>تست برنامه</v>
      </c>
      <c r="AR1" s="61" t="str">
        <v>تست واقعی</v>
      </c>
      <c r="AS1" s="61"/>
      <c r="AT1" s="61"/>
      <c r="AU1" s="61"/>
      <c r="AV1" s="61"/>
      <c r="AW1" s="61"/>
      <c r="AX1" s="61"/>
      <c r="AY1" s="1423"/>
      <c r="AZ1" s="1423"/>
      <c r="BA1" s="1423"/>
      <c r="BB1" s="1423"/>
      <c r="BC1" s="1423"/>
      <c r="BD1" s="1423"/>
      <c r="BE1" s="1423"/>
      <c r="BF1" s="1423"/>
      <c r="BG1" s="1423"/>
      <c r="BH1" s="1423"/>
      <c r="BI1" s="1423"/>
      <c r="BJ1" s="1423"/>
      <c r="BK1" s="1423"/>
      <c r="BL1" s="1423"/>
      <c r="BM1" s="1423"/>
    </row>
    <row r="2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61"/>
      <c r="AA2" s="61"/>
      <c r="AB2" s="61"/>
      <c r="AC2" s="1424" t="n">
        <f>INDEX($Z$11:$Z$91,MAX(1,$AN$2-13)+ROW()-2)</f>
        <v>46237</v>
      </c>
      <c r="AD2" s="1425" t="n">
        <f>INDEX($H$11:$H$91,MAX(1,$AN$2-13)+ROW()-2)</f>
        <v>240</v>
      </c>
      <c r="AE2" s="1426" t="str">
        <f>IF(INDEX($I$11:$I$91,MAX(1,$AN$2-13)+ROW()-2)=0,"",INDEX($I$11:$I$91,MAX(1,$AN$2-13)+ROW()-2))</f>
      </c>
      <c r="AF2" s="1427" t="str">
        <f>INDEX($J$11:$J$91,MAX(1,$AN$2-13)+ROW()-2)</f>
      </c>
      <c r="AG2" s="1427" t="n">
        <f>INDEX($K$11:$K$91,MAX(1,$AN$2-13)+ROW()-2)</f>
        <v>27</v>
      </c>
      <c r="AH2" s="1427" t="str">
        <f>IF(INDEX($L$11:$L$91,MAX(1,$AN$2-13)+ROW()-2)=0,"",INDEX($L$11:$L$91,MAX(1,$AN$2-13)+ROW()-2))</f>
      </c>
      <c r="AI2" s="1427" t="n">
        <f>INDEX($G$11:$G$91,MAX(1,$AN$2-13)+ROW()-2)</f>
        <v>0</v>
      </c>
      <c r="AJ2" s="1427" t="str">
        <f>INDEX($W$11:$W$91,MAX(1,$AN$2-13)+ROW()-2)</f>
      </c>
      <c r="AK2" s="1426" t="str">
        <f>IF(INDEX($R$11:$R$91,MAX(1,$AN$2-13)+ROW()-2)=0,"",INDEX($R$11:$R$91,MAX(1,$AN$2-13)+ROW()-2))</f>
      </c>
      <c r="AL2" s="1308" t="str">
        <f>IF(INDEX($S$11:$S$91,MAX(1,$AN$2-13)+ROW()-2)=0,"",INDEX($S$11:$S$91,MAX(1,$AN$2-13)+ROW()-2))</f>
      </c>
      <c r="AM2" s="61" t="str">
        <v>ردیف مرجع</v>
      </c>
      <c r="AN2" s="61" t="n">
        <f>IF(TODAY()&lt;$Z$11,14,MIN(81,MAX(14,MATCH(TODAY(),$Z$11:$Z$91,1))))</f>
        <v>14</v>
      </c>
      <c r="AO2" s="61"/>
      <c r="AP2" s="61" t="n">
        <f>INDEX($Z$11:$Z$91,MAX(1,$AN$2-13)+ROW()-2)</f>
        <v>46237</v>
      </c>
      <c r="AQ2" s="61" t="n">
        <f>INDEX($N$11:$N$91,MAX(1,$AN$2-13)+ROW()-2)</f>
        <v>17</v>
      </c>
      <c r="AR2" s="61" t="str">
        <f>IF(INDEX($O$11:$O$91,MAX(1,$AN$2-13)+ROW()-2)=0,"",INDEX($O$11:$O$91,MAX(1,$AN$2-13)+ROW()-2))</f>
      </c>
      <c r="AS2" s="61"/>
      <c r="AT2" s="61"/>
      <c r="AU2" s="61"/>
      <c r="AV2" s="61"/>
      <c r="AW2" s="61"/>
      <c r="AX2" s="61"/>
      <c r="AY2" s="1423"/>
      <c r="AZ2" s="1423"/>
      <c r="BA2" s="1423"/>
      <c r="BB2" s="1423"/>
      <c r="BC2" s="1423"/>
      <c r="BD2" s="1423"/>
      <c r="BE2" s="1423"/>
      <c r="BF2" s="1423"/>
      <c r="BG2" s="1423"/>
      <c r="BH2" s="1423"/>
      <c r="BI2" s="1423"/>
      <c r="BJ2" s="1423"/>
      <c r="BK2" s="1423"/>
      <c r="BL2" s="1423"/>
      <c r="BM2" s="1423"/>
    </row>
    <row r="3">
      <c r="A3" s="565" t="str">
        <v>سلول‌های زرد برای ثبت گزارش واقعی شماست؛ ستون‌های آبی و سبز به‌صورت خودکار با «برنامه خرد» مقایسه و محاسبه می‌شوند.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61"/>
      <c r="AA3" s="61"/>
      <c r="AB3" s="61"/>
      <c r="AC3" s="1428" t="n">
        <f>INDEX($Z$11:$Z$91,MAX(1,$AN$2-13)+ROW()-2)</f>
        <v>46238</v>
      </c>
      <c r="AD3" s="1273" t="n">
        <f>INDEX($H$11:$H$91,MAX(1,$AN$2-13)+ROW()-2)</f>
        <v>240</v>
      </c>
      <c r="AE3" s="1429" t="str">
        <f>IF(INDEX($I$11:$I$91,MAX(1,$AN$2-13)+ROW()-2)=0,"",INDEX($I$11:$I$91,MAX(1,$AN$2-13)+ROW()-2))</f>
      </c>
      <c r="AF3" s="1430" t="str">
        <f>INDEX($J$11:$J$91,MAX(1,$AN$2-13)+ROW()-2)</f>
      </c>
      <c r="AG3" s="1430" t="n">
        <f>INDEX($K$11:$K$91,MAX(1,$AN$2-13)+ROW()-2)</f>
        <v>29</v>
      </c>
      <c r="AH3" s="1430" t="str">
        <f>IF(INDEX($L$11:$L$91,MAX(1,$AN$2-13)+ROW()-2)=0,"",INDEX($L$11:$L$91,MAX(1,$AN$2-13)+ROW()-2))</f>
      </c>
      <c r="AI3" s="1430" t="n">
        <f>INDEX($G$11:$G$91,MAX(1,$AN$2-13)+ROW()-2)</f>
        <v>0</v>
      </c>
      <c r="AJ3" s="1430" t="str">
        <f>INDEX($W$11:$W$91,MAX(1,$AN$2-13)+ROW()-2)</f>
      </c>
      <c r="AK3" s="1429" t="str">
        <f>IF(INDEX($R$11:$R$91,MAX(1,$AN$2-13)+ROW()-2)=0,"",INDEX($R$11:$R$91,MAX(1,$AN$2-13)+ROW()-2))</f>
      </c>
      <c r="AL3" s="1273" t="str">
        <f>IF(INDEX($S$11:$S$91,MAX(1,$AN$2-13)+ROW()-2)=0,"",INDEX($S$11:$S$91,MAX(1,$AN$2-13)+ROW()-2))</f>
      </c>
      <c r="AM3" s="61"/>
      <c r="AN3" s="61"/>
      <c r="AO3" s="61"/>
      <c r="AP3" s="61" t="n">
        <f>INDEX($Z$11:$Z$91,MAX(1,$AN$2-13)+ROW()-2)</f>
        <v>46238</v>
      </c>
      <c r="AQ3" s="61" t="n">
        <f>INDEX($N$11:$N$91,MAX(1,$AN$2-13)+ROW()-2)</f>
        <v>17</v>
      </c>
      <c r="AR3" s="61" t="str">
        <f>IF(INDEX($O$11:$O$91,MAX(1,$AN$2-13)+ROW()-2)=0,"",INDEX($O$11:$O$91,MAX(1,$AN$2-13)+ROW()-2))</f>
      </c>
      <c r="AS3" s="61"/>
      <c r="AT3" s="61"/>
      <c r="AU3" s="61"/>
      <c r="AV3" s="61"/>
      <c r="AW3" s="61"/>
      <c r="AX3" s="61"/>
      <c r="AY3" s="1423"/>
      <c r="AZ3" s="1423"/>
      <c r="BA3" s="1423"/>
      <c r="BB3" s="1423"/>
      <c r="BC3" s="1423"/>
      <c r="BD3" s="1423"/>
      <c r="BE3" s="1423"/>
      <c r="BF3" s="1423"/>
      <c r="BG3" s="1423"/>
      <c r="BH3" s="1423"/>
      <c r="BI3" s="1423"/>
      <c r="BJ3" s="1423"/>
      <c r="BK3" s="1423"/>
      <c r="BL3" s="1423"/>
      <c r="BM3" s="1423"/>
    </row>
    <row r="4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1428" t="n">
        <f>INDEX($Z$11:$Z$91,MAX(1,$AN$2-13)+ROW()-2)</f>
        <v>46239</v>
      </c>
      <c r="AD4" s="1273" t="n">
        <f>INDEX($H$11:$H$91,MAX(1,$AN$2-13)+ROW()-2)</f>
        <v>240</v>
      </c>
      <c r="AE4" s="1429" t="str">
        <f>IF(INDEX($I$11:$I$91,MAX(1,$AN$2-13)+ROW()-2)=0,"",INDEX($I$11:$I$91,MAX(1,$AN$2-13)+ROW()-2))</f>
      </c>
      <c r="AF4" s="1430" t="str">
        <f>INDEX($J$11:$J$91,MAX(1,$AN$2-13)+ROW()-2)</f>
      </c>
      <c r="AG4" s="1430" t="n">
        <f>INDEX($K$11:$K$91,MAX(1,$AN$2-13)+ROW()-2)</f>
        <v>29</v>
      </c>
      <c r="AH4" s="1430" t="str">
        <f>IF(INDEX($L$11:$L$91,MAX(1,$AN$2-13)+ROW()-2)=0,"",INDEX($L$11:$L$91,MAX(1,$AN$2-13)+ROW()-2))</f>
      </c>
      <c r="AI4" s="1430" t="n">
        <f>INDEX($G$11:$G$91,MAX(1,$AN$2-13)+ROW()-2)</f>
        <v>0</v>
      </c>
      <c r="AJ4" s="1430" t="str">
        <f>INDEX($W$11:$W$91,MAX(1,$AN$2-13)+ROW()-2)</f>
      </c>
      <c r="AK4" s="1429" t="str">
        <f>IF(INDEX($R$11:$R$91,MAX(1,$AN$2-13)+ROW()-2)=0,"",INDEX($R$11:$R$91,MAX(1,$AN$2-13)+ROW()-2))</f>
      </c>
      <c r="AL4" s="1273" t="str">
        <f>IF(INDEX($S$11:$S$91,MAX(1,$AN$2-13)+ROW()-2)=0,"",INDEX($S$11:$S$91,MAX(1,$AN$2-13)+ROW()-2))</f>
      </c>
      <c r="AM4" s="61"/>
      <c r="AN4" s="61"/>
      <c r="AO4" s="61"/>
      <c r="AP4" s="61" t="n">
        <f>INDEX($Z$11:$Z$91,MAX(1,$AN$2-13)+ROW()-2)</f>
        <v>46239</v>
      </c>
      <c r="AQ4" s="61" t="n">
        <f>INDEX($N$11:$N$91,MAX(1,$AN$2-13)+ROW()-2)</f>
        <v>17</v>
      </c>
      <c r="AR4" s="61" t="str">
        <f>IF(INDEX($O$11:$O$91,MAX(1,$AN$2-13)+ROW()-2)=0,"",INDEX($O$11:$O$91,MAX(1,$AN$2-13)+ROW()-2))</f>
      </c>
      <c r="AS4" s="61"/>
      <c r="AT4" s="61"/>
      <c r="AU4" s="61"/>
      <c r="AV4" s="61"/>
      <c r="AW4" s="61"/>
      <c r="AX4" s="61"/>
      <c r="AY4" s="1423"/>
      <c r="AZ4" s="1423"/>
      <c r="BA4" s="1423"/>
      <c r="BB4" s="1423"/>
      <c r="BC4" s="1423"/>
      <c r="BD4" s="1423"/>
      <c r="BE4" s="1423"/>
      <c r="BF4" s="1423"/>
      <c r="BG4" s="1423"/>
      <c r="BH4" s="1423"/>
      <c r="BI4" s="1423"/>
      <c r="BJ4" s="1423"/>
      <c r="BK4" s="1423"/>
      <c r="BL4" s="1423"/>
      <c r="BM4" s="1423"/>
    </row>
    <row r="5">
      <c r="A5" s="1431" t="str">
        <v>دقیقهٔ برنامه‌ریزی‌شده</v>
      </c>
      <c r="B5" s="1431"/>
      <c r="C5" s="1431"/>
      <c r="D5" s="1431"/>
      <c r="E5" s="712" t="str">
        <v>دقیقهٔ واقعی ثبت‌شده</v>
      </c>
      <c r="F5" s="712"/>
      <c r="G5" s="712"/>
      <c r="H5" s="712"/>
      <c r="I5" s="640" t="str">
        <v>تحقق زمانی کل</v>
      </c>
      <c r="J5" s="640"/>
      <c r="K5" s="640"/>
      <c r="L5" s="640"/>
      <c r="M5" s="639" t="str">
        <v>روزهای دارای گزارش</v>
      </c>
      <c r="N5" s="639"/>
      <c r="O5" s="639"/>
      <c r="P5" s="639"/>
      <c r="Q5" s="1432" t="str">
        <v>پیشرفت چک‌لیست اصلی</v>
      </c>
      <c r="R5" s="1432"/>
      <c r="S5" s="1432"/>
      <c r="T5" s="1432"/>
      <c r="U5" s="565" t="str">
        <v>میانگین امتیاز گزارش</v>
      </c>
      <c r="V5" s="565"/>
      <c r="W5" s="565"/>
      <c r="X5" s="565"/>
      <c r="Y5" s="565"/>
      <c r="Z5" s="61"/>
      <c r="AA5" s="61"/>
      <c r="AB5" s="61"/>
      <c r="AC5" s="1433" t="n">
        <f>INDEX($Z$11:$Z$91,MAX(1,$AN$2-13)+ROW()-2)</f>
        <v>46240</v>
      </c>
      <c r="AD5" s="1275" t="n">
        <f>INDEX($H$11:$H$91,MAX(1,$AN$2-13)+ROW()-2)</f>
        <v>240</v>
      </c>
      <c r="AE5" s="1429" t="str">
        <f>IF(INDEX($I$11:$I$91,MAX(1,$AN$2-13)+ROW()-2)=0,"",INDEX($I$11:$I$91,MAX(1,$AN$2-13)+ROW()-2))</f>
      </c>
      <c r="AF5" s="1430" t="str">
        <f>INDEX($J$11:$J$91,MAX(1,$AN$2-13)+ROW()-2)</f>
      </c>
      <c r="AG5" s="1430" t="n">
        <f>INDEX($K$11:$K$91,MAX(1,$AN$2-13)+ROW()-2)</f>
        <v>34</v>
      </c>
      <c r="AH5" s="1430" t="str">
        <f>IF(INDEX($L$11:$L$91,MAX(1,$AN$2-13)+ROW()-2)=0,"",INDEX($L$11:$L$91,MAX(1,$AN$2-13)+ROW()-2))</f>
      </c>
      <c r="AI5" s="1430" t="n">
        <f>INDEX($G$11:$G$91,MAX(1,$AN$2-13)+ROW()-2)</f>
        <v>0</v>
      </c>
      <c r="AJ5" s="1430" t="str">
        <f>INDEX($W$11:$W$91,MAX(1,$AN$2-13)+ROW()-2)</f>
      </c>
      <c r="AK5" s="1429" t="str">
        <f>IF(INDEX($R$11:$R$91,MAX(1,$AN$2-13)+ROW()-2)=0,"",INDEX($R$11:$R$91,MAX(1,$AN$2-13)+ROW()-2))</f>
      </c>
      <c r="AL5" s="1273" t="str">
        <f>IF(INDEX($S$11:$S$91,MAX(1,$AN$2-13)+ROW()-2)=0,"",INDEX($S$11:$S$91,MAX(1,$AN$2-13)+ROW()-2))</f>
      </c>
      <c r="AM5" s="61"/>
      <c r="AN5" s="1311" t="str">
        <v>وضعیت برنامهٔ خرد</v>
      </c>
      <c r="AO5" s="1312" t="str">
        <v>تعداد روز</v>
      </c>
      <c r="AP5" s="61" t="n">
        <f>INDEX($Z$11:$Z$91,MAX(1,$AN$2-13)+ROW()-2)</f>
        <v>46240</v>
      </c>
      <c r="AQ5" s="61" t="n">
        <f>INDEX($N$11:$N$91,MAX(1,$AN$2-13)+ROW()-2)</f>
        <v>17</v>
      </c>
      <c r="AR5" s="61" t="str">
        <f>IF(INDEX($O$11:$O$91,MAX(1,$AN$2-13)+ROW()-2)=0,"",INDEX($O$11:$O$91,MAX(1,$AN$2-13)+ROW()-2))</f>
      </c>
      <c r="AS5" s="61"/>
      <c r="AT5" s="61"/>
      <c r="AU5" s="61"/>
      <c r="AV5" s="61"/>
      <c r="AW5" s="61"/>
      <c r="AX5" s="61"/>
      <c r="AY5" s="1423"/>
      <c r="AZ5" s="1423"/>
      <c r="BA5" s="1423"/>
      <c r="BB5" s="1423"/>
      <c r="BC5" s="1423"/>
      <c r="BD5" s="1423"/>
      <c r="BE5" s="1423"/>
      <c r="BF5" s="1423"/>
      <c r="BG5" s="1423"/>
      <c r="BH5" s="1423"/>
      <c r="BI5" s="1423"/>
      <c r="BJ5" s="1423"/>
      <c r="BK5" s="1423"/>
      <c r="BL5" s="1423"/>
      <c r="BM5" s="1423"/>
    </row>
    <row r="6">
      <c r="A6" s="1434" t="n">
        <f>SUM(H11:H91)</f>
        <v>19440</v>
      </c>
      <c r="B6" s="582"/>
      <c r="C6" s="582"/>
      <c r="D6" s="583"/>
      <c r="E6" s="1435" t="n">
        <f>SUM(I11:I91)</f>
        <v>0</v>
      </c>
      <c r="F6" s="585"/>
      <c r="G6" s="585"/>
      <c r="H6" s="586"/>
      <c r="I6" s="1436" t="n">
        <f>IFERROR(SUM(I11:I91)/SUM(H11:H91),0)</f>
        <v>0</v>
      </c>
      <c r="J6" s="588"/>
      <c r="K6" s="588"/>
      <c r="L6" s="589"/>
      <c r="M6" s="1437" t="n">
        <f>COUNTIF(AA11:AA91,1)</f>
        <v>0</v>
      </c>
      <c r="N6" s="591"/>
      <c r="O6" s="591"/>
      <c r="P6" s="592"/>
      <c r="Q6" s="593" t="n">
        <f>AVERAGE(G11:G91)</f>
        <v>0</v>
      </c>
      <c r="R6" s="594"/>
      <c r="S6" s="594"/>
      <c r="T6" s="595"/>
      <c r="U6" s="1438" t="n">
        <f>IFERROR(AVERAGE(W11:W91),0)</f>
        <v>0</v>
      </c>
      <c r="V6" s="1439"/>
      <c r="W6" s="1439"/>
      <c r="X6" s="1439"/>
      <c r="Y6" s="1440"/>
      <c r="Z6" s="61"/>
      <c r="AA6" s="61"/>
      <c r="AB6" s="61"/>
      <c r="AC6" s="1428" t="n">
        <f>INDEX($Z$11:$Z$91,MAX(1,$AN$2-13)+ROW()-2)</f>
        <v>46241</v>
      </c>
      <c r="AD6" s="1429" t="n">
        <f>INDEX($H$11:$H$91,MAX(1,$AN$2-13)+ROW()-2)</f>
        <v>240</v>
      </c>
      <c r="AE6" s="1429" t="str">
        <f>IF(INDEX($I$11:$I$91,MAX(1,$AN$2-13)+ROW()-2)=0,"",INDEX($I$11:$I$91,MAX(1,$AN$2-13)+ROW()-2))</f>
      </c>
      <c r="AF6" s="1430" t="str">
        <f>INDEX($J$11:$J$91,MAX(1,$AN$2-13)+ROW()-2)</f>
      </c>
      <c r="AG6" s="1430" t="n">
        <f>INDEX($K$11:$K$91,MAX(1,$AN$2-13)+ROW()-2)</f>
        <v>21</v>
      </c>
      <c r="AH6" s="1430" t="str">
        <f>IF(INDEX($L$11:$L$91,MAX(1,$AN$2-13)+ROW()-2)=0,"",INDEX($L$11:$L$91,MAX(1,$AN$2-13)+ROW()-2))</f>
      </c>
      <c r="AI6" s="1430" t="n">
        <f>INDEX($G$11:$G$91,MAX(1,$AN$2-13)+ROW()-2)</f>
        <v>0</v>
      </c>
      <c r="AJ6" s="1430" t="str">
        <f>INDEX($W$11:$W$91,MAX(1,$AN$2-13)+ROW()-2)</f>
      </c>
      <c r="AK6" s="1429" t="str">
        <f>IF(INDEX($R$11:$R$91,MAX(1,$AN$2-13)+ROW()-2)=0,"",INDEX($R$11:$R$91,MAX(1,$AN$2-13)+ROW()-2))</f>
      </c>
      <c r="AL6" s="1273" t="str">
        <f>IF(INDEX($S$11:$S$91,MAX(1,$AN$2-13)+ROW()-2)=0,"",INDEX($S$11:$S$91,MAX(1,$AN$2-13)+ROW()-2))</f>
      </c>
      <c r="AM6" s="61"/>
      <c r="AN6" s="1272" t="str">
        <v>انجام‌شده</v>
      </c>
      <c r="AO6" s="1273" t="n">
        <f>COUNTIF($F$11:$F$91,AN6)</f>
        <v>0</v>
      </c>
      <c r="AP6" s="61" t="n">
        <f>INDEX($Z$11:$Z$91,MAX(1,$AN$2-13)+ROW()-2)</f>
        <v>46241</v>
      </c>
      <c r="AQ6" s="61" t="n">
        <f>INDEX($N$11:$N$91,MAX(1,$AN$2-13)+ROW()-2)</f>
        <v>17</v>
      </c>
      <c r="AR6" s="61" t="str">
        <f>IF(INDEX($O$11:$O$91,MAX(1,$AN$2-13)+ROW()-2)=0,"",INDEX($O$11:$O$91,MAX(1,$AN$2-13)+ROW()-2))</f>
      </c>
      <c r="AS6" s="61"/>
      <c r="AT6" s="61"/>
      <c r="AU6" s="61"/>
      <c r="AV6" s="61"/>
      <c r="AW6" s="61"/>
      <c r="AX6" s="61"/>
      <c r="AY6" s="1423"/>
      <c r="AZ6" s="1423"/>
      <c r="BA6" s="1423"/>
      <c r="BB6" s="1423"/>
      <c r="BC6" s="1423"/>
      <c r="BD6" s="1423"/>
      <c r="BE6" s="1423"/>
      <c r="BF6" s="1423"/>
      <c r="BG6" s="1423"/>
      <c r="BH6" s="1423"/>
      <c r="BI6" s="1423"/>
      <c r="BJ6" s="1423"/>
      <c r="BK6" s="1423"/>
      <c r="BL6" s="1423"/>
      <c r="BM6" s="1423"/>
    </row>
    <row r="7">
      <c r="A7" s="596"/>
      <c r="B7" s="597"/>
      <c r="C7" s="597"/>
      <c r="D7" s="598"/>
      <c r="E7" s="599"/>
      <c r="F7" s="600"/>
      <c r="G7" s="600"/>
      <c r="H7" s="601"/>
      <c r="I7" s="602"/>
      <c r="J7" s="603"/>
      <c r="K7" s="603"/>
      <c r="L7" s="604"/>
      <c r="M7" s="605"/>
      <c r="N7" s="606"/>
      <c r="O7" s="606"/>
      <c r="P7" s="607"/>
      <c r="Q7" s="608"/>
      <c r="R7" s="609"/>
      <c r="S7" s="609"/>
      <c r="T7" s="610"/>
      <c r="U7" s="1441"/>
      <c r="V7" s="1442"/>
      <c r="W7" s="1442"/>
      <c r="X7" s="1442"/>
      <c r="Y7" s="1443"/>
      <c r="Z7" s="61"/>
      <c r="AA7" s="61"/>
      <c r="AB7" s="61"/>
      <c r="AC7" s="1428" t="n">
        <f>INDEX($Z$11:$Z$91,MAX(1,$AN$2-13)+ROW()-2)</f>
        <v>46242</v>
      </c>
      <c r="AD7" s="1429" t="n">
        <f>INDEX($H$11:$H$91,MAX(1,$AN$2-13)+ROW()-2)</f>
        <v>240</v>
      </c>
      <c r="AE7" s="1429" t="str">
        <f>IF(INDEX($I$11:$I$91,MAX(1,$AN$2-13)+ROW()-2)=0,"",INDEX($I$11:$I$91,MAX(1,$AN$2-13)+ROW()-2))</f>
      </c>
      <c r="AF7" s="1430" t="str">
        <f>INDEX($J$11:$J$91,MAX(1,$AN$2-13)+ROW()-2)</f>
      </c>
      <c r="AG7" s="1430" t="n">
        <f>INDEX($K$11:$K$91,MAX(1,$AN$2-13)+ROW()-2)</f>
        <v>34</v>
      </c>
      <c r="AH7" s="1430" t="str">
        <f>IF(INDEX($L$11:$L$91,MAX(1,$AN$2-13)+ROW()-2)=0,"",INDEX($L$11:$L$91,MAX(1,$AN$2-13)+ROW()-2))</f>
      </c>
      <c r="AI7" s="1430" t="n">
        <f>INDEX($G$11:$G$91,MAX(1,$AN$2-13)+ROW()-2)</f>
        <v>0</v>
      </c>
      <c r="AJ7" s="1430" t="str">
        <f>INDEX($W$11:$W$91,MAX(1,$AN$2-13)+ROW()-2)</f>
      </c>
      <c r="AK7" s="1429" t="str">
        <f>IF(INDEX($R$11:$R$91,MAX(1,$AN$2-13)+ROW()-2)=0,"",INDEX($R$11:$R$91,MAX(1,$AN$2-13)+ROW()-2))</f>
      </c>
      <c r="AL7" s="1273" t="str">
        <f>IF(INDEX($S$11:$S$91,MAX(1,$AN$2-13)+ROW()-2)=0,"",INDEX($S$11:$S$91,MAX(1,$AN$2-13)+ROW()-2))</f>
      </c>
      <c r="AM7" s="61"/>
      <c r="AN7" s="1272" t="str">
        <v>نیمه‌انجام</v>
      </c>
      <c r="AO7" s="1273" t="n">
        <f>COUNTIF($F$11:$F$91,AN7)</f>
        <v>0</v>
      </c>
      <c r="AP7" s="61" t="n">
        <f>INDEX($Z$11:$Z$91,MAX(1,$AN$2-13)+ROW()-2)</f>
        <v>46242</v>
      </c>
      <c r="AQ7" s="61" t="n">
        <f>INDEX($N$11:$N$91,MAX(1,$AN$2-13)+ROW()-2)</f>
        <v>17</v>
      </c>
      <c r="AR7" s="61" t="str">
        <f>IF(INDEX($O$11:$O$91,MAX(1,$AN$2-13)+ROW()-2)=0,"",INDEX($O$11:$O$91,MAX(1,$AN$2-13)+ROW()-2))</f>
      </c>
      <c r="AS7" s="61"/>
      <c r="AT7" s="61"/>
      <c r="AU7" s="61"/>
      <c r="AV7" s="61"/>
      <c r="AW7" s="61"/>
      <c r="AX7" s="61"/>
      <c r="AY7" s="1423"/>
      <c r="AZ7" s="1423"/>
      <c r="BA7" s="1423"/>
      <c r="BB7" s="1423"/>
      <c r="BC7" s="1423"/>
      <c r="BD7" s="1423"/>
      <c r="BE7" s="1423"/>
      <c r="BF7" s="1423"/>
      <c r="BG7" s="1423"/>
      <c r="BH7" s="1423"/>
      <c r="BI7" s="1423"/>
      <c r="BJ7" s="1423"/>
      <c r="BK7" s="1423"/>
      <c r="BL7" s="1423"/>
      <c r="BM7" s="1423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1428" t="n">
        <f>INDEX($Z$11:$Z$91,MAX(1,$AN$2-13)+ROW()-2)</f>
        <v>46243</v>
      </c>
      <c r="AD8" s="1429" t="n">
        <f>INDEX($H$11:$H$91,MAX(1,$AN$2-13)+ROW()-2)</f>
        <v>240</v>
      </c>
      <c r="AE8" s="1429" t="str">
        <f>IF(INDEX($I$11:$I$91,MAX(1,$AN$2-13)+ROW()-2)=0,"",INDEX($I$11:$I$91,MAX(1,$AN$2-13)+ROW()-2))</f>
      </c>
      <c r="AF8" s="1430" t="str">
        <f>INDEX($J$11:$J$91,MAX(1,$AN$2-13)+ROW()-2)</f>
      </c>
      <c r="AG8" s="1430" t="n">
        <f>INDEX($K$11:$K$91,MAX(1,$AN$2-13)+ROW()-2)</f>
        <v>29</v>
      </c>
      <c r="AH8" s="1430" t="str">
        <f>IF(INDEX($L$11:$L$91,MAX(1,$AN$2-13)+ROW()-2)=0,"",INDEX($L$11:$L$91,MAX(1,$AN$2-13)+ROW()-2))</f>
      </c>
      <c r="AI8" s="1430" t="n">
        <f>INDEX($G$11:$G$91,MAX(1,$AN$2-13)+ROW()-2)</f>
        <v>0</v>
      </c>
      <c r="AJ8" s="1430" t="str">
        <f>INDEX($W$11:$W$91,MAX(1,$AN$2-13)+ROW()-2)</f>
      </c>
      <c r="AK8" s="1429" t="str">
        <f>IF(INDEX($R$11:$R$91,MAX(1,$AN$2-13)+ROW()-2)=0,"",INDEX($R$11:$R$91,MAX(1,$AN$2-13)+ROW()-2))</f>
      </c>
      <c r="AL8" s="1273" t="str">
        <f>IF(INDEX($S$11:$S$91,MAX(1,$AN$2-13)+ROW()-2)=0,"",INDEX($S$11:$S$91,MAX(1,$AN$2-13)+ROW()-2))</f>
      </c>
      <c r="AM8" s="61"/>
      <c r="AN8" s="1274" t="str">
        <v>انجام‌نشده</v>
      </c>
      <c r="AO8" s="1275" t="n">
        <f>COUNTIF($F$11:$F$91,AN8)</f>
        <v>81</v>
      </c>
      <c r="AP8" s="61" t="n">
        <f>INDEX($Z$11:$Z$91,MAX(1,$AN$2-13)+ROW()-2)</f>
        <v>46243</v>
      </c>
      <c r="AQ8" s="61" t="n">
        <f>INDEX($N$11:$N$91,MAX(1,$AN$2-13)+ROW()-2)</f>
        <v>17</v>
      </c>
      <c r="AR8" s="61" t="str">
        <f>IF(INDEX($O$11:$O$91,MAX(1,$AN$2-13)+ROW()-2)=0,"",INDEX($O$11:$O$91,MAX(1,$AN$2-13)+ROW()-2))</f>
      </c>
      <c r="AS8" s="61"/>
      <c r="AT8" s="61"/>
      <c r="AU8" s="61"/>
      <c r="AV8" s="61"/>
      <c r="AW8" s="61"/>
      <c r="AX8" s="61"/>
      <c r="AY8" s="1423"/>
      <c r="AZ8" s="1423"/>
      <c r="BA8" s="1423"/>
      <c r="BB8" s="1423"/>
      <c r="BC8" s="1423"/>
      <c r="BD8" s="1423"/>
      <c r="BE8" s="1423"/>
      <c r="BF8" s="1423"/>
      <c r="BG8" s="1423"/>
      <c r="BH8" s="1423"/>
      <c r="BI8" s="1423"/>
      <c r="BJ8" s="1423"/>
      <c r="BK8" s="1423"/>
      <c r="BL8" s="1423"/>
      <c r="BM8" s="1423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1428" t="n">
        <f>INDEX($Z$11:$Z$91,MAX(1,$AN$2-13)+ROW()-2)</f>
        <v>46244</v>
      </c>
      <c r="AD9" s="1429" t="n">
        <f>INDEX($H$11:$H$91,MAX(1,$AN$2-13)+ROW()-2)</f>
        <v>240</v>
      </c>
      <c r="AE9" s="1429" t="str">
        <f>IF(INDEX($I$11:$I$91,MAX(1,$AN$2-13)+ROW()-2)=0,"",INDEX($I$11:$I$91,MAX(1,$AN$2-13)+ROW()-2))</f>
      </c>
      <c r="AF9" s="1430" t="str">
        <f>INDEX($J$11:$J$91,MAX(1,$AN$2-13)+ROW()-2)</f>
      </c>
      <c r="AG9" s="1430" t="n">
        <f>INDEX($K$11:$K$91,MAX(1,$AN$2-13)+ROW()-2)</f>
        <v>34</v>
      </c>
      <c r="AH9" s="1430" t="str">
        <f>IF(INDEX($L$11:$L$91,MAX(1,$AN$2-13)+ROW()-2)=0,"",INDEX($L$11:$L$91,MAX(1,$AN$2-13)+ROW()-2))</f>
      </c>
      <c r="AI9" s="1430" t="n">
        <f>INDEX($G$11:$G$91,MAX(1,$AN$2-13)+ROW()-2)</f>
        <v>0</v>
      </c>
      <c r="AJ9" s="1430" t="str">
        <f>INDEX($W$11:$W$91,MAX(1,$AN$2-13)+ROW()-2)</f>
      </c>
      <c r="AK9" s="1429" t="str">
        <f>IF(INDEX($R$11:$R$91,MAX(1,$AN$2-13)+ROW()-2)=0,"",INDEX($R$11:$R$91,MAX(1,$AN$2-13)+ROW()-2))</f>
      </c>
      <c r="AL9" s="1273" t="str">
        <f>IF(INDEX($S$11:$S$91,MAX(1,$AN$2-13)+ROW()-2)=0,"",INDEX($S$11:$S$91,MAX(1,$AN$2-13)+ROW()-2))</f>
      </c>
      <c r="AM9" s="61"/>
      <c r="AN9" s="61"/>
      <c r="AO9" s="61"/>
      <c r="AP9" s="61" t="n">
        <f>INDEX($Z$11:$Z$91,MAX(1,$AN$2-13)+ROW()-2)</f>
        <v>46244</v>
      </c>
      <c r="AQ9" s="61" t="n">
        <f>INDEX($N$11:$N$91,MAX(1,$AN$2-13)+ROW()-2)</f>
        <v>17</v>
      </c>
      <c r="AR9" s="61" t="str">
        <f>IF(INDEX($O$11:$O$91,MAX(1,$AN$2-13)+ROW()-2)=0,"",INDEX($O$11:$O$91,MAX(1,$AN$2-13)+ROW()-2))</f>
      </c>
      <c r="AS9" s="61"/>
      <c r="AT9" s="61"/>
      <c r="AU9" s="61"/>
      <c r="AV9" s="61"/>
      <c r="AW9" s="61"/>
      <c r="AX9" s="61"/>
      <c r="AY9" s="1423"/>
      <c r="AZ9" s="1423"/>
      <c r="BA9" s="1423"/>
      <c r="BB9" s="1423"/>
      <c r="BC9" s="1423"/>
      <c r="BD9" s="1423"/>
      <c r="BE9" s="1423"/>
      <c r="BF9" s="1423"/>
      <c r="BG9" s="1423"/>
      <c r="BH9" s="1423"/>
      <c r="BI9" s="1423"/>
      <c r="BJ9" s="1423"/>
      <c r="BK9" s="1423"/>
      <c r="BL9" s="1423"/>
      <c r="BM9" s="1423"/>
    </row>
    <row r="10" ht="60" customHeight="1">
      <c r="A10" s="644" t="str">
        <v>تاریخ شمسی</v>
      </c>
      <c r="B10" s="645" t="str">
        <v>روز هفته</v>
      </c>
      <c r="C10" s="645" t="str">
        <v>هفته</v>
      </c>
      <c r="D10" s="645" t="str">
        <v>درس‌های برنامه‌ریزی‌شده</v>
      </c>
      <c r="E10" s="645" t="str">
        <v>نوع فعالیت برنامه</v>
      </c>
      <c r="F10" s="645" t="str">
        <v>وضعیت برنامهٔ خرد</v>
      </c>
      <c r="G10" s="645" t="str">
        <v>امتیاز وضعیت</v>
      </c>
      <c r="H10" s="645" t="str">
        <v>دقیقهٔ برنامه</v>
      </c>
      <c r="I10" s="645" t="str">
        <v>دقیقهٔ واقعی</v>
      </c>
      <c r="J10" s="645" t="str">
        <v>تحقق زمانی</v>
      </c>
      <c r="K10" s="645" t="str">
        <v>صفحات جدید برنامه</v>
      </c>
      <c r="L10" s="645" t="str">
        <v>صفحات جدید واقعی</v>
      </c>
      <c r="M10" s="645" t="str">
        <v>تحقق صفحات</v>
      </c>
      <c r="N10" s="645" t="str">
        <v>تست برنامه</v>
      </c>
      <c r="O10" s="645" t="str">
        <v>تست واقعی و تحلیل‌شده</v>
      </c>
      <c r="P10" s="645" t="str">
        <v>تحقق تست</v>
      </c>
      <c r="Q10" s="645" t="str">
        <v>دقیقهٔ مرور و بازیابی واقعی</v>
      </c>
      <c r="R10" s="645" t="str">
        <v>تمرکز از ۱ تا ۵</v>
      </c>
      <c r="S10" s="645" t="str">
        <v>انرژی از ۱ تا ۵</v>
      </c>
      <c r="T10" s="645" t="str">
        <v>مهم‌ترین دستاورد روز</v>
      </c>
      <c r="U10" s="645" t="str">
        <v>مشکل یا علت انحراف</v>
      </c>
      <c r="V10" s="645" t="str">
        <v>اقدام جبرانی یا برنامهٔ فردا</v>
      </c>
      <c r="W10" s="645" t="str">
        <v>امتیاز گزارش روزانه</v>
      </c>
      <c r="X10" s="645" t="str">
        <v>اختلاف دقیقه</v>
      </c>
      <c r="Y10" s="645" t="str">
        <v>وضعیت گزارش</v>
      </c>
      <c r="Z10" s="645" t="str">
        <v>تاریخ میلادی</v>
      </c>
      <c r="AA10" s="646" t="str">
        <v>پرچم ثبت گزارش</v>
      </c>
      <c r="AB10" s="61"/>
      <c r="AC10" s="1428" t="n">
        <f>INDEX($Z$11:$Z$91,MAX(1,$AN$2-13)+ROW()-2)</f>
        <v>46245</v>
      </c>
      <c r="AD10" s="1429" t="n">
        <f>INDEX($H$11:$H$91,MAX(1,$AN$2-13)+ROW()-2)</f>
        <v>240</v>
      </c>
      <c r="AE10" s="1429" t="str">
        <f>IF(INDEX($I$11:$I$91,MAX(1,$AN$2-13)+ROW()-2)=0,"",INDEX($I$11:$I$91,MAX(1,$AN$2-13)+ROW()-2))</f>
      </c>
      <c r="AF10" s="1430" t="str">
        <f>INDEX($J$11:$J$91,MAX(1,$AN$2-13)+ROW()-2)</f>
      </c>
      <c r="AG10" s="1430" t="n">
        <f>INDEX($K$11:$K$91,MAX(1,$AN$2-13)+ROW()-2)</f>
        <v>26</v>
      </c>
      <c r="AH10" s="1430" t="str">
        <f>IF(INDEX($L$11:$L$91,MAX(1,$AN$2-13)+ROW()-2)=0,"",INDEX($L$11:$L$91,MAX(1,$AN$2-13)+ROW()-2))</f>
      </c>
      <c r="AI10" s="1430" t="n">
        <f>INDEX($G$11:$G$91,MAX(1,$AN$2-13)+ROW()-2)</f>
        <v>0</v>
      </c>
      <c r="AJ10" s="1430" t="str">
        <f>INDEX($W$11:$W$91,MAX(1,$AN$2-13)+ROW()-2)</f>
      </c>
      <c r="AK10" s="1429" t="str">
        <f>IF(INDEX($R$11:$R$91,MAX(1,$AN$2-13)+ROW()-2)=0,"",INDEX($R$11:$R$91,MAX(1,$AN$2-13)+ROW()-2))</f>
      </c>
      <c r="AL10" s="1273" t="str">
        <f>IF(INDEX($S$11:$S$91,MAX(1,$AN$2-13)+ROW()-2)=0,"",INDEX($S$11:$S$91,MAX(1,$AN$2-13)+ROW()-2))</f>
      </c>
      <c r="AM10" s="61"/>
      <c r="AN10" s="61"/>
      <c r="AO10" s="61"/>
      <c r="AP10" s="61" t="n">
        <f>INDEX($Z$11:$Z$91,MAX(1,$AN$2-13)+ROW()-2)</f>
        <v>46245</v>
      </c>
      <c r="AQ10" s="61" t="n">
        <f>INDEX($N$11:$N$91,MAX(1,$AN$2-13)+ROW()-2)</f>
        <v>17</v>
      </c>
      <c r="AR10" s="61" t="str">
        <f>IF(INDEX($O$11:$O$91,MAX(1,$AN$2-13)+ROW()-2)=0,"",INDEX($O$11:$O$91,MAX(1,$AN$2-13)+ROW()-2))</f>
      </c>
      <c r="AS10" s="61"/>
      <c r="AT10" s="61"/>
      <c r="AU10" s="61"/>
      <c r="AV10" s="61"/>
      <c r="AW10" s="61"/>
      <c r="AX10" s="61"/>
      <c r="AY10" s="1423"/>
      <c r="AZ10" s="1423"/>
      <c r="BA10" s="1423"/>
      <c r="BB10" s="1423"/>
      <c r="BC10" s="1423"/>
      <c r="BD10" s="1423"/>
      <c r="BE10" s="1423"/>
      <c r="BF10" s="1423"/>
      <c r="BG10" s="1423"/>
      <c r="BH10" s="1423"/>
      <c r="BI10" s="1423"/>
      <c r="BJ10" s="1423"/>
      <c r="BK10" s="1423"/>
      <c r="BL10" s="1423"/>
      <c r="BM10" s="1423"/>
    </row>
    <row r="11" ht="48" customHeight="1">
      <c r="A11" s="277" t="str">
        <f>'برنامه خرد'!A2</f>
        <v>۱۴۰۵/۰۵/۱۲</v>
      </c>
      <c r="B11" s="278" t="str">
        <f>'برنامه خرد'!B2</f>
        <v>دوشنبه</v>
      </c>
      <c r="C11" s="1056" t="n">
        <f>'برنامه خرد'!K2</f>
        <v>1</v>
      </c>
      <c r="D11" s="278" t="str">
        <f>IF('برنامه خرد'!N2='برنامه خرد'!O2,'برنامه خرد'!N2,'برنامه خرد'!N2&amp;" + "&amp;'برنامه خرد'!O2)</f>
        <v>آسیب‌شناسی روانی</v>
      </c>
      <c r="E11" s="278" t="str">
        <f>'برنامه خرد'!E2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1" s="1053" t="str">
        <f>'برنامه خرد'!G2</f>
        <v>انجام‌نشده</v>
      </c>
      <c r="G11" s="1057" t="n">
        <f>'برنامه خرد'!AB2</f>
        <v>0</v>
      </c>
      <c r="H11" s="1057" t="n">
        <f>'برنامه خرد'!AG2</f>
        <v>240</v>
      </c>
      <c r="I11" s="1060"/>
      <c r="J11" s="1063" t="str">
        <f>IF(I11="","",IFERROR(I11/H11,0))</f>
      </c>
      <c r="K11" s="1057" t="n">
        <f>'برنامه خرد'!AI2</f>
        <v>27</v>
      </c>
      <c r="L11" s="1060"/>
      <c r="M11" s="1063" t="str">
        <f>IF(OR(L11="",K11=0),"",IFERROR(L11/K11,0))</f>
      </c>
      <c r="N11" s="1057" t="n">
        <f>'برنامه خرد'!AJ2</f>
        <v>17</v>
      </c>
      <c r="O11" s="1060"/>
      <c r="P11" s="1063" t="str">
        <f>IF(O11="","",IFERROR(O11/N11,0))</f>
      </c>
      <c r="Q11" s="1060"/>
      <c r="R11" s="1060"/>
      <c r="S11" s="1060"/>
      <c r="T11" s="1041"/>
      <c r="U11" s="1041"/>
      <c r="V11" s="1041"/>
      <c r="W11" s="1063" t="str">
        <f>IF(COUNT(J11,M11,P11)=0,"",AVERAGE(J11,M11,P11))</f>
      </c>
      <c r="X11" s="1056" t="str">
        <f>IF(I11="","",I11-H11)</f>
      </c>
      <c r="Y11" s="279" t="str">
        <f>IF(I11="","ثبت‌نشده",IF(W11&gt;=0.9,"مطلوب",IF(W11&gt;=0.6,"نسبی","نیازمند جبران")))</f>
        <v>ثبت‌نشده</v>
      </c>
      <c r="Z11" s="1066" t="n">
        <f>'برنامه خرد'!I2</f>
        <v>46237</v>
      </c>
      <c r="AA11" s="61" t="n">
        <f>IF(I11="",0,1)</f>
        <v>0</v>
      </c>
      <c r="AB11" s="61"/>
      <c r="AC11" s="1428" t="n">
        <f>INDEX($Z$11:$Z$91,MAX(1,$AN$2-13)+ROW()-2)</f>
        <v>46246</v>
      </c>
      <c r="AD11" s="1429" t="n">
        <f>INDEX($H$11:$H$91,MAX(1,$AN$2-13)+ROW()-2)</f>
        <v>240</v>
      </c>
      <c r="AE11" s="1429" t="str">
        <f>IF(INDEX($I$11:$I$91,MAX(1,$AN$2-13)+ROW()-2)=0,"",INDEX($I$11:$I$91,MAX(1,$AN$2-13)+ROW()-2))</f>
      </c>
      <c r="AF11" s="1430" t="str">
        <f>INDEX($J$11:$J$91,MAX(1,$AN$2-13)+ROW()-2)</f>
      </c>
      <c r="AG11" s="1430" t="n">
        <f>INDEX($K$11:$K$91,MAX(1,$AN$2-13)+ROW()-2)</f>
        <v>34</v>
      </c>
      <c r="AH11" s="1430" t="str">
        <f>IF(INDEX($L$11:$L$91,MAX(1,$AN$2-13)+ROW()-2)=0,"",INDEX($L$11:$L$91,MAX(1,$AN$2-13)+ROW()-2))</f>
      </c>
      <c r="AI11" s="1430" t="n">
        <f>INDEX($G$11:$G$91,MAX(1,$AN$2-13)+ROW()-2)</f>
        <v>0</v>
      </c>
      <c r="AJ11" s="1430" t="str">
        <f>INDEX($W$11:$W$91,MAX(1,$AN$2-13)+ROW()-2)</f>
      </c>
      <c r="AK11" s="1429" t="str">
        <f>IF(INDEX($R$11:$R$91,MAX(1,$AN$2-13)+ROW()-2)=0,"",INDEX($R$11:$R$91,MAX(1,$AN$2-13)+ROW()-2))</f>
      </c>
      <c r="AL11" s="1273" t="str">
        <f>IF(INDEX($S$11:$S$91,MAX(1,$AN$2-13)+ROW()-2)=0,"",INDEX($S$11:$S$91,MAX(1,$AN$2-13)+ROW()-2))</f>
      </c>
      <c r="AM11" s="61"/>
      <c r="AN11" s="61"/>
      <c r="AO11" s="61"/>
      <c r="AP11" s="61" t="n">
        <f>INDEX($Z$11:$Z$91,MAX(1,$AN$2-13)+ROW()-2)</f>
        <v>46246</v>
      </c>
      <c r="AQ11" s="61" t="n">
        <f>INDEX($N$11:$N$91,MAX(1,$AN$2-13)+ROW()-2)</f>
        <v>17</v>
      </c>
      <c r="AR11" s="61" t="str">
        <f>IF(INDEX($O$11:$O$91,MAX(1,$AN$2-13)+ROW()-2)=0,"",INDEX($O$11:$O$91,MAX(1,$AN$2-13)+ROW()-2))</f>
      </c>
      <c r="AS11" s="61"/>
      <c r="AT11" s="61"/>
      <c r="AU11" s="61"/>
      <c r="AV11" s="61"/>
      <c r="AW11" s="61"/>
      <c r="AX11" s="61"/>
      <c r="AY11" s="1423"/>
      <c r="AZ11" s="1423"/>
      <c r="BA11" s="1423"/>
      <c r="BB11" s="1423"/>
      <c r="BC11" s="1423"/>
      <c r="BD11" s="1423"/>
      <c r="BE11" s="1423"/>
      <c r="BF11" s="1423"/>
      <c r="BG11" s="1423"/>
      <c r="BH11" s="1423"/>
      <c r="BI11" s="1423"/>
      <c r="BJ11" s="1423"/>
      <c r="BK11" s="1423"/>
      <c r="BL11" s="1423"/>
      <c r="BM11" s="1423"/>
    </row>
    <row r="12" ht="48" customHeight="1">
      <c r="A12" s="366" t="str">
        <f>'برنامه خرد'!A3</f>
        <v>۱۴۰۵/۰۵/۱۳</v>
      </c>
      <c r="B12" s="367" t="str">
        <f>'برنامه خرد'!B3</f>
        <v>سه‌شنبه</v>
      </c>
      <c r="C12" s="680" t="n">
        <f>'برنامه خرد'!K3</f>
        <v>1</v>
      </c>
      <c r="D12" s="367" t="str">
        <f>IF('برنامه خرد'!N3='برنامه خرد'!O3,'برنامه خرد'!N3,'برنامه خرد'!N3&amp;" + "&amp;'برنامه خرد'!O3)</f>
        <v>آسیب‌شناسی روانی + نظریه‌های روان‌درمانی پروچاسکا</v>
      </c>
      <c r="E12" s="367" t="str">
        <f>'برنامه خرد'!E3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2" s="1054" t="str">
        <f>'برنامه خرد'!G3</f>
        <v>انجام‌نشده</v>
      </c>
      <c r="G12" s="1058" t="n">
        <f>'برنامه خرد'!AB3</f>
        <v>0</v>
      </c>
      <c r="H12" s="1058" t="n">
        <f>'برنامه خرد'!AG3</f>
        <v>240</v>
      </c>
      <c r="I12" s="1061"/>
      <c r="J12" s="1064" t="str">
        <f>IF(I12="","",IFERROR(I12/H12,0))</f>
      </c>
      <c r="K12" s="1058" t="n">
        <f>'برنامه خرد'!AI3</f>
        <v>29</v>
      </c>
      <c r="L12" s="1061"/>
      <c r="M12" s="1064" t="str">
        <f>IF(OR(L12="",K12=0),"",IFERROR(L12/K12,0))</f>
      </c>
      <c r="N12" s="1058" t="n">
        <f>'برنامه خرد'!AJ3</f>
        <v>17</v>
      </c>
      <c r="O12" s="1061"/>
      <c r="P12" s="1064" t="str">
        <f>IF(O12="","",IFERROR(O12/N12,0))</f>
      </c>
      <c r="Q12" s="1061"/>
      <c r="R12" s="1061"/>
      <c r="S12" s="1061"/>
      <c r="T12" s="1042"/>
      <c r="U12" s="1042"/>
      <c r="V12" s="1042"/>
      <c r="W12" s="1064" t="str">
        <f>IF(COUNT(J12,M12,P12)=0,"",AVERAGE(J12,M12,P12))</f>
      </c>
      <c r="X12" s="680" t="str">
        <f>IF(I12="","",I12-H12)</f>
      </c>
      <c r="Y12" s="368" t="str">
        <f>IF(I12="","ثبت‌نشده",IF(W12&gt;=0.9,"مطلوب",IF(W12&gt;=0.6,"نسبی","نیازمند جبران")))</f>
        <v>ثبت‌نشده</v>
      </c>
      <c r="Z12" s="1066" t="n">
        <f>'برنامه خرد'!I3</f>
        <v>46238</v>
      </c>
      <c r="AA12" s="61" t="n">
        <f>IF(I12="",0,1)</f>
        <v>0</v>
      </c>
      <c r="AB12" s="61"/>
      <c r="AC12" s="1428" t="n">
        <f>INDEX($Z$11:$Z$91,MAX(1,$AN$2-13)+ROW()-2)</f>
        <v>46247</v>
      </c>
      <c r="AD12" s="1429" t="n">
        <f>INDEX($H$11:$H$91,MAX(1,$AN$2-13)+ROW()-2)</f>
        <v>240</v>
      </c>
      <c r="AE12" s="1429" t="str">
        <f>IF(INDEX($I$11:$I$91,MAX(1,$AN$2-13)+ROW()-2)=0,"",INDEX($I$11:$I$91,MAX(1,$AN$2-13)+ROW()-2))</f>
      </c>
      <c r="AF12" s="1430" t="str">
        <f>INDEX($J$11:$J$91,MAX(1,$AN$2-13)+ROW()-2)</f>
      </c>
      <c r="AG12" s="1430" t="n">
        <f>INDEX($K$11:$K$91,MAX(1,$AN$2-13)+ROW()-2)</f>
        <v>29</v>
      </c>
      <c r="AH12" s="1430" t="str">
        <f>IF(INDEX($L$11:$L$91,MAX(1,$AN$2-13)+ROW()-2)=0,"",INDEX($L$11:$L$91,MAX(1,$AN$2-13)+ROW()-2))</f>
      </c>
      <c r="AI12" s="1430" t="n">
        <f>INDEX($G$11:$G$91,MAX(1,$AN$2-13)+ROW()-2)</f>
        <v>0</v>
      </c>
      <c r="AJ12" s="1430" t="str">
        <f>INDEX($W$11:$W$91,MAX(1,$AN$2-13)+ROW()-2)</f>
      </c>
      <c r="AK12" s="1429" t="str">
        <f>IF(INDEX($R$11:$R$91,MAX(1,$AN$2-13)+ROW()-2)=0,"",INDEX($R$11:$R$91,MAX(1,$AN$2-13)+ROW()-2))</f>
      </c>
      <c r="AL12" s="1273" t="str">
        <f>IF(INDEX($S$11:$S$91,MAX(1,$AN$2-13)+ROW()-2)=0,"",INDEX($S$11:$S$91,MAX(1,$AN$2-13)+ROW()-2))</f>
      </c>
      <c r="AM12" s="61"/>
      <c r="AN12" s="61"/>
      <c r="AO12" s="61"/>
      <c r="AP12" s="61" t="n">
        <f>INDEX($Z$11:$Z$91,MAX(1,$AN$2-13)+ROW()-2)</f>
        <v>46247</v>
      </c>
      <c r="AQ12" s="61" t="n">
        <f>INDEX($N$11:$N$91,MAX(1,$AN$2-13)+ROW()-2)</f>
        <v>17</v>
      </c>
      <c r="AR12" s="61" t="str">
        <f>IF(INDEX($O$11:$O$91,MAX(1,$AN$2-13)+ROW()-2)=0,"",INDEX($O$11:$O$91,MAX(1,$AN$2-13)+ROW()-2))</f>
      </c>
      <c r="AS12" s="61"/>
      <c r="AT12" s="61"/>
      <c r="AU12" s="61"/>
      <c r="AV12" s="61"/>
      <c r="AW12" s="61"/>
      <c r="AX12" s="61"/>
      <c r="AY12" s="1423"/>
      <c r="AZ12" s="1423"/>
      <c r="BA12" s="1423"/>
      <c r="BB12" s="1423"/>
      <c r="BC12" s="1423"/>
      <c r="BD12" s="1423"/>
      <c r="BE12" s="1423"/>
      <c r="BF12" s="1423"/>
      <c r="BG12" s="1423"/>
      <c r="BH12" s="1423"/>
      <c r="BI12" s="1423"/>
      <c r="BJ12" s="1423"/>
      <c r="BK12" s="1423"/>
      <c r="BL12" s="1423"/>
      <c r="BM12" s="1423"/>
    </row>
    <row r="13" ht="48" customHeight="1">
      <c r="A13" s="280" t="str">
        <f>'برنامه خرد'!A4</f>
        <v>۱۴۰۵/۰۵/۱۴</v>
      </c>
      <c r="B13" s="281" t="str">
        <f>'برنامه خرد'!B4</f>
        <v>چهارشنبه</v>
      </c>
      <c r="C13" s="681" t="n">
        <f>'برنامه خرد'!K4</f>
        <v>1</v>
      </c>
      <c r="D13" s="281" t="str">
        <f>IF('برنامه خرد'!N4='برنامه خرد'!O4,'برنامه خرد'!N4,'برنامه خرد'!N4&amp;" + "&amp;'برنامه خرد'!O4)</f>
        <v>آسیب‌شناسی روانی + نظریه‌های روان‌درمانی پروچاسکا</v>
      </c>
      <c r="E13" s="281" t="str">
        <f>'برنامه خرد'!E4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3" s="1054" t="str">
        <f>'برنامه خرد'!G4</f>
        <v>انجام‌نشده</v>
      </c>
      <c r="G13" s="1058" t="n">
        <f>'برنامه خرد'!AB4</f>
        <v>0</v>
      </c>
      <c r="H13" s="1058" t="n">
        <f>'برنامه خرد'!AG4</f>
        <v>240</v>
      </c>
      <c r="I13" s="1061"/>
      <c r="J13" s="1064" t="str">
        <f>IF(I13="","",IFERROR(I13/H13,0))</f>
      </c>
      <c r="K13" s="1058" t="n">
        <f>'برنامه خرد'!AI4</f>
        <v>29</v>
      </c>
      <c r="L13" s="1061"/>
      <c r="M13" s="1064" t="str">
        <f>IF(OR(L13="",K13=0),"",IFERROR(L13/K13,0))</f>
      </c>
      <c r="N13" s="1058" t="n">
        <f>'برنامه خرد'!AJ4</f>
        <v>17</v>
      </c>
      <c r="O13" s="1061"/>
      <c r="P13" s="1064" t="str">
        <f>IF(O13="","",IFERROR(O13/N13,0))</f>
      </c>
      <c r="Q13" s="1061"/>
      <c r="R13" s="1061"/>
      <c r="S13" s="1061"/>
      <c r="T13" s="1042"/>
      <c r="U13" s="1042"/>
      <c r="V13" s="1042"/>
      <c r="W13" s="1064" t="str">
        <f>IF(COUNT(J13,M13,P13)=0,"",AVERAGE(J13,M13,P13))</f>
      </c>
      <c r="X13" s="681" t="str">
        <f>IF(I13="","",I13-H13)</f>
      </c>
      <c r="Y13" s="282" t="str">
        <f>IF(I13="","ثبت‌نشده",IF(W13&gt;=0.9,"مطلوب",IF(W13&gt;=0.6,"نسبی","نیازمند جبران")))</f>
        <v>ثبت‌نشده</v>
      </c>
      <c r="Z13" s="1066" t="n">
        <f>'برنامه خرد'!I4</f>
        <v>46239</v>
      </c>
      <c r="AA13" s="61" t="n">
        <f>IF(I13="",0,1)</f>
        <v>0</v>
      </c>
      <c r="AB13" s="61"/>
      <c r="AC13" s="1428" t="n">
        <f>INDEX($Z$11:$Z$91,MAX(1,$AN$2-13)+ROW()-2)</f>
        <v>46248</v>
      </c>
      <c r="AD13" s="1429" t="n">
        <f>INDEX($H$11:$H$91,MAX(1,$AN$2-13)+ROW()-2)</f>
        <v>240</v>
      </c>
      <c r="AE13" s="1429" t="str">
        <f>IF(INDEX($I$11:$I$91,MAX(1,$AN$2-13)+ROW()-2)=0,"",INDEX($I$11:$I$91,MAX(1,$AN$2-13)+ROW()-2))</f>
      </c>
      <c r="AF13" s="1430" t="str">
        <f>INDEX($J$11:$J$91,MAX(1,$AN$2-13)+ROW()-2)</f>
      </c>
      <c r="AG13" s="1430" t="n">
        <f>INDEX($K$11:$K$91,MAX(1,$AN$2-13)+ROW()-2)</f>
        <v>28</v>
      </c>
      <c r="AH13" s="1430" t="str">
        <f>IF(INDEX($L$11:$L$91,MAX(1,$AN$2-13)+ROW()-2)=0,"",INDEX($L$11:$L$91,MAX(1,$AN$2-13)+ROW()-2))</f>
      </c>
      <c r="AI13" s="1430" t="n">
        <f>INDEX($G$11:$G$91,MAX(1,$AN$2-13)+ROW()-2)</f>
        <v>0</v>
      </c>
      <c r="AJ13" s="1430" t="str">
        <f>INDEX($W$11:$W$91,MAX(1,$AN$2-13)+ROW()-2)</f>
      </c>
      <c r="AK13" s="1429" t="str">
        <f>IF(INDEX($R$11:$R$91,MAX(1,$AN$2-13)+ROW()-2)=0,"",INDEX($R$11:$R$91,MAX(1,$AN$2-13)+ROW()-2))</f>
      </c>
      <c r="AL13" s="1273" t="str">
        <f>IF(INDEX($S$11:$S$91,MAX(1,$AN$2-13)+ROW()-2)=0,"",INDEX($S$11:$S$91,MAX(1,$AN$2-13)+ROW()-2))</f>
      </c>
      <c r="AM13" s="61"/>
      <c r="AN13" s="61"/>
      <c r="AO13" s="61"/>
      <c r="AP13" s="61" t="n">
        <f>INDEX($Z$11:$Z$91,MAX(1,$AN$2-13)+ROW()-2)</f>
        <v>46248</v>
      </c>
      <c r="AQ13" s="61" t="n">
        <f>INDEX($N$11:$N$91,MAX(1,$AN$2-13)+ROW()-2)</f>
        <v>17</v>
      </c>
      <c r="AR13" s="61" t="str">
        <f>IF(INDEX($O$11:$O$91,MAX(1,$AN$2-13)+ROW()-2)=0,"",INDEX($O$11:$O$91,MAX(1,$AN$2-13)+ROW()-2))</f>
      </c>
      <c r="AS13" s="61"/>
      <c r="AT13" s="61"/>
      <c r="AU13" s="61"/>
      <c r="AV13" s="61"/>
      <c r="AW13" s="61"/>
      <c r="AX13" s="61"/>
      <c r="AY13" s="1423"/>
      <c r="AZ13" s="1423"/>
      <c r="BA13" s="1423"/>
      <c r="BB13" s="1423"/>
      <c r="BC13" s="1423"/>
      <c r="BD13" s="1423"/>
      <c r="BE13" s="1423"/>
      <c r="BF13" s="1423"/>
      <c r="BG13" s="1423"/>
      <c r="BH13" s="1423"/>
      <c r="BI13" s="1423"/>
      <c r="BJ13" s="1423"/>
      <c r="BK13" s="1423"/>
      <c r="BL13" s="1423"/>
      <c r="BM13" s="1423"/>
    </row>
    <row r="14" ht="48" customHeight="1">
      <c r="A14" s="366" t="str">
        <f>'برنامه خرد'!A5</f>
        <v>۱۴۰۵/۰۵/۱۵</v>
      </c>
      <c r="B14" s="367" t="str">
        <f>'برنامه خرد'!B5</f>
        <v>پنجشنبه</v>
      </c>
      <c r="C14" s="680" t="n">
        <f>'برنامه خرد'!K5</f>
        <v>1</v>
      </c>
      <c r="D14" s="367" t="str">
        <f>IF('برنامه خرد'!N5='برنامه خرد'!O5,'برنامه خرد'!N5,'برنامه خرد'!N5&amp;" + "&amp;'برنامه خرد'!O5)</f>
        <v>نظریه‌های روان‌درمانی پروچاسکا + آسیب‌شناسی روانی</v>
      </c>
      <c r="E14" s="367" t="str">
        <f>'برنامه خرد'!E5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4" s="1054" t="str">
        <f>'برنامه خرد'!G5</f>
        <v>انجام‌نشده</v>
      </c>
      <c r="G14" s="1058" t="n">
        <f>'برنامه خرد'!AB5</f>
        <v>0</v>
      </c>
      <c r="H14" s="1058" t="n">
        <f>'برنامه خرد'!AG5</f>
        <v>240</v>
      </c>
      <c r="I14" s="1061"/>
      <c r="J14" s="1064" t="str">
        <f>IF(I14="","",IFERROR(I14/H14,0))</f>
      </c>
      <c r="K14" s="1058" t="n">
        <f>'برنامه خرد'!AI5</f>
        <v>34</v>
      </c>
      <c r="L14" s="1061"/>
      <c r="M14" s="1064" t="str">
        <f>IF(OR(L14="",K14=0),"",IFERROR(L14/K14,0))</f>
      </c>
      <c r="N14" s="1058" t="n">
        <f>'برنامه خرد'!AJ5</f>
        <v>17</v>
      </c>
      <c r="O14" s="1061"/>
      <c r="P14" s="1064" t="str">
        <f>IF(O14="","",IFERROR(O14/N14,0))</f>
      </c>
      <c r="Q14" s="1061"/>
      <c r="R14" s="1061"/>
      <c r="S14" s="1061"/>
      <c r="T14" s="1042"/>
      <c r="U14" s="1042"/>
      <c r="V14" s="1042"/>
      <c r="W14" s="1064" t="str">
        <f>IF(COUNT(J14,M14,P14)=0,"",AVERAGE(J14,M14,P14))</f>
      </c>
      <c r="X14" s="680" t="str">
        <f>IF(I14="","",I14-H14)</f>
      </c>
      <c r="Y14" s="368" t="str">
        <f>IF(I14="","ثبت‌نشده",IF(W14&gt;=0.9,"مطلوب",IF(W14&gt;=0.6,"نسبی","نیازمند جبران")))</f>
        <v>ثبت‌نشده</v>
      </c>
      <c r="Z14" s="1066" t="n">
        <f>'برنامه خرد'!I5</f>
        <v>46240</v>
      </c>
      <c r="AA14" s="61" t="n">
        <f>IF(I14="",0,1)</f>
        <v>0</v>
      </c>
      <c r="AB14" s="61"/>
      <c r="AC14" s="1428" t="n">
        <f>INDEX($Z$11:$Z$91,MAX(1,$AN$2-13)+ROW()-2)</f>
        <v>46249</v>
      </c>
      <c r="AD14" s="1429" t="n">
        <f>INDEX($H$11:$H$91,MAX(1,$AN$2-13)+ROW()-2)</f>
        <v>240</v>
      </c>
      <c r="AE14" s="1429" t="str">
        <f>IF(INDEX($I$11:$I$91,MAX(1,$AN$2-13)+ROW()-2)=0,"",INDEX($I$11:$I$91,MAX(1,$AN$2-13)+ROW()-2))</f>
      </c>
      <c r="AF14" s="1430" t="str">
        <f>INDEX($J$11:$J$91,MAX(1,$AN$2-13)+ROW()-2)</f>
      </c>
      <c r="AG14" s="1430" t="n">
        <f>INDEX($K$11:$K$91,MAX(1,$AN$2-13)+ROW()-2)</f>
        <v>27</v>
      </c>
      <c r="AH14" s="1430" t="str">
        <f>IF(INDEX($L$11:$L$91,MAX(1,$AN$2-13)+ROW()-2)=0,"",INDEX($L$11:$L$91,MAX(1,$AN$2-13)+ROW()-2))</f>
      </c>
      <c r="AI14" s="1430" t="n">
        <f>INDEX($G$11:$G$91,MAX(1,$AN$2-13)+ROW()-2)</f>
        <v>0</v>
      </c>
      <c r="AJ14" s="1430" t="str">
        <f>INDEX($W$11:$W$91,MAX(1,$AN$2-13)+ROW()-2)</f>
      </c>
      <c r="AK14" s="1429" t="str">
        <f>IF(INDEX($R$11:$R$91,MAX(1,$AN$2-13)+ROW()-2)=0,"",INDEX($R$11:$R$91,MAX(1,$AN$2-13)+ROW()-2))</f>
      </c>
      <c r="AL14" s="1273" t="str">
        <f>IF(INDEX($S$11:$S$91,MAX(1,$AN$2-13)+ROW()-2)=0,"",INDEX($S$11:$S$91,MAX(1,$AN$2-13)+ROW()-2))</f>
      </c>
      <c r="AM14" s="61"/>
      <c r="AN14" s="61"/>
      <c r="AO14" s="61"/>
      <c r="AP14" s="61" t="n">
        <f>INDEX($Z$11:$Z$91,MAX(1,$AN$2-13)+ROW()-2)</f>
        <v>46249</v>
      </c>
      <c r="AQ14" s="61" t="n">
        <f>INDEX($N$11:$N$91,MAX(1,$AN$2-13)+ROW()-2)</f>
        <v>17</v>
      </c>
      <c r="AR14" s="61" t="str">
        <f>IF(INDEX($O$11:$O$91,MAX(1,$AN$2-13)+ROW()-2)=0,"",INDEX($O$11:$O$91,MAX(1,$AN$2-13)+ROW()-2))</f>
      </c>
      <c r="AS14" s="61"/>
      <c r="AT14" s="61"/>
      <c r="AU14" s="61"/>
      <c r="AV14" s="61"/>
      <c r="AW14" s="61"/>
      <c r="AX14" s="61"/>
      <c r="AY14" s="1423"/>
      <c r="AZ14" s="1423"/>
      <c r="BA14" s="1423"/>
      <c r="BB14" s="1423"/>
      <c r="BC14" s="1423"/>
      <c r="BD14" s="1423"/>
      <c r="BE14" s="1423"/>
      <c r="BF14" s="1423"/>
      <c r="BG14" s="1423"/>
      <c r="BH14" s="1423"/>
      <c r="BI14" s="1423"/>
      <c r="BJ14" s="1423"/>
      <c r="BK14" s="1423"/>
      <c r="BL14" s="1423"/>
      <c r="BM14" s="1423"/>
    </row>
    <row r="15" ht="48" customHeight="1">
      <c r="A15" s="280" t="str">
        <f>'برنامه خرد'!A6</f>
        <v>۱۴۰۵/۰۵/۱۶</v>
      </c>
      <c r="B15" s="281" t="str">
        <f>'برنامه خرد'!B6</f>
        <v>جمعه</v>
      </c>
      <c r="C15" s="681" t="n">
        <f>'برنامه خرد'!K6</f>
        <v>1</v>
      </c>
      <c r="D15" s="281" t="str">
        <f>IF('برنامه خرد'!N6='برنامه خرد'!O6,'برنامه خرد'!N6,'برنامه خرد'!N6&amp;" + "&amp;'برنامه خرد'!O6)</f>
        <v>آسیب‌شناسی روانی</v>
      </c>
      <c r="E15" s="281" t="str">
        <f>'برنامه خرد'!E6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15" s="1054" t="str">
        <f>'برنامه خرد'!G6</f>
        <v>انجام‌نشده</v>
      </c>
      <c r="G15" s="1058" t="n">
        <f>'برنامه خرد'!AB6</f>
        <v>0</v>
      </c>
      <c r="H15" s="1058" t="n">
        <f>'برنامه خرد'!AG6</f>
        <v>240</v>
      </c>
      <c r="I15" s="1061"/>
      <c r="J15" s="1064" t="str">
        <f>IF(I15="","",IFERROR(I15/H15,0))</f>
      </c>
      <c r="K15" s="1058" t="n">
        <f>'برنامه خرد'!AI6</f>
        <v>21</v>
      </c>
      <c r="L15" s="1061"/>
      <c r="M15" s="1064" t="str">
        <f>IF(OR(L15="",K15=0),"",IFERROR(L15/K15,0))</f>
      </c>
      <c r="N15" s="1058" t="n">
        <f>'برنامه خرد'!AJ6</f>
        <v>17</v>
      </c>
      <c r="O15" s="1061"/>
      <c r="P15" s="1064" t="str">
        <f>IF(O15="","",IFERROR(O15/N15,0))</f>
      </c>
      <c r="Q15" s="1061"/>
      <c r="R15" s="1061"/>
      <c r="S15" s="1061"/>
      <c r="T15" s="1042"/>
      <c r="U15" s="1042"/>
      <c r="V15" s="1042"/>
      <c r="W15" s="1064" t="str">
        <f>IF(COUNT(J15,M15,P15)=0,"",AVERAGE(J15,M15,P15))</f>
      </c>
      <c r="X15" s="681" t="str">
        <f>IF(I15="","",I15-H15)</f>
      </c>
      <c r="Y15" s="282" t="str">
        <f>IF(I15="","ثبت‌نشده",IF(W15&gt;=0.9,"مطلوب",IF(W15&gt;=0.6,"نسبی","نیازمند جبران")))</f>
        <v>ثبت‌نشده</v>
      </c>
      <c r="Z15" s="1066" t="n">
        <f>'برنامه خرد'!I6</f>
        <v>46241</v>
      </c>
      <c r="AA15" s="61" t="n">
        <f>IF(I15="",0,1)</f>
        <v>0</v>
      </c>
      <c r="AB15" s="61"/>
      <c r="AC15" s="1433" t="n">
        <f>INDEX($Z$11:$Z$91,MAX(1,$AN$2-13)+ROW()-2)</f>
        <v>46250</v>
      </c>
      <c r="AD15" s="1444" t="n">
        <f>INDEX($H$11:$H$91,MAX(1,$AN$2-13)+ROW()-2)</f>
        <v>240</v>
      </c>
      <c r="AE15" s="1444" t="str">
        <f>IF(INDEX($I$11:$I$91,MAX(1,$AN$2-13)+ROW()-2)=0,"",INDEX($I$11:$I$91,MAX(1,$AN$2-13)+ROW()-2))</f>
      </c>
      <c r="AF15" s="1445" t="str">
        <f>INDEX($J$11:$J$91,MAX(1,$AN$2-13)+ROW()-2)</f>
      </c>
      <c r="AG15" s="1445" t="n">
        <f>INDEX($K$11:$K$91,MAX(1,$AN$2-13)+ROW()-2)</f>
        <v>34</v>
      </c>
      <c r="AH15" s="1445" t="str">
        <f>IF(INDEX($L$11:$L$91,MAX(1,$AN$2-13)+ROW()-2)=0,"",INDEX($L$11:$L$91,MAX(1,$AN$2-13)+ROW()-2))</f>
      </c>
      <c r="AI15" s="1445" t="n">
        <f>INDEX($G$11:$G$91,MAX(1,$AN$2-13)+ROW()-2)</f>
        <v>0</v>
      </c>
      <c r="AJ15" s="1445" t="str">
        <f>INDEX($W$11:$W$91,MAX(1,$AN$2-13)+ROW()-2)</f>
      </c>
      <c r="AK15" s="1444" t="str">
        <f>IF(INDEX($R$11:$R$91,MAX(1,$AN$2-13)+ROW()-2)=0,"",INDEX($R$11:$R$91,MAX(1,$AN$2-13)+ROW()-2))</f>
      </c>
      <c r="AL15" s="1275" t="str">
        <f>IF(INDEX($S$11:$S$91,MAX(1,$AN$2-13)+ROW()-2)=0,"",INDEX($S$11:$S$91,MAX(1,$AN$2-13)+ROW()-2))</f>
      </c>
      <c r="AM15" s="61"/>
      <c r="AN15" s="61"/>
      <c r="AO15" s="61"/>
      <c r="AP15" s="61" t="n">
        <f>INDEX($Z$11:$Z$91,MAX(1,$AN$2-13)+ROW()-2)</f>
        <v>46250</v>
      </c>
      <c r="AQ15" s="61" t="n">
        <f>INDEX($N$11:$N$91,MAX(1,$AN$2-13)+ROW()-2)</f>
        <v>17</v>
      </c>
      <c r="AR15" s="61" t="str">
        <f>IF(INDEX($O$11:$O$91,MAX(1,$AN$2-13)+ROW()-2)=0,"",INDEX($O$11:$O$91,MAX(1,$AN$2-13)+ROW()-2))</f>
      </c>
      <c r="AS15" s="61"/>
      <c r="AT15" s="61"/>
      <c r="AU15" s="61"/>
      <c r="AV15" s="61"/>
      <c r="AW15" s="61"/>
      <c r="AX15" s="61"/>
      <c r="AY15" s="1423"/>
      <c r="AZ15" s="1423"/>
      <c r="BA15" s="1423"/>
      <c r="BB15" s="1423"/>
      <c r="BC15" s="1423"/>
      <c r="BD15" s="1423"/>
      <c r="BE15" s="1423"/>
      <c r="BF15" s="1423"/>
      <c r="BG15" s="1423"/>
      <c r="BH15" s="1423"/>
      <c r="BI15" s="1423"/>
      <c r="BJ15" s="1423"/>
      <c r="BK15" s="1423"/>
      <c r="BL15" s="1423"/>
      <c r="BM15" s="1423"/>
    </row>
    <row r="16" ht="48" customHeight="1">
      <c r="A16" s="366" t="str">
        <f>'برنامه خرد'!A7</f>
        <v>۱۴۰۵/۰۵/۱۷</v>
      </c>
      <c r="B16" s="367" t="str">
        <f>'برنامه خرد'!B7</f>
        <v>شنبه</v>
      </c>
      <c r="C16" s="680" t="n">
        <f>'برنامه خرد'!K7</f>
        <v>2</v>
      </c>
      <c r="D16" s="367" t="str">
        <f>IF('برنامه خرد'!N7='برنامه خرد'!O7,'برنامه خرد'!N7,'برنامه خرد'!N7&amp;" + "&amp;'برنامه خرد'!O7)</f>
        <v>نظریه‌های روان‌درمانی پروچاسکا + آسیب‌شناسی روانی</v>
      </c>
      <c r="E16" s="367" t="str">
        <f>'برنامه خرد'!E7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6" s="1054" t="str">
        <f>'برنامه خرد'!G7</f>
        <v>انجام‌نشده</v>
      </c>
      <c r="G16" s="1058" t="n">
        <f>'برنامه خرد'!AB7</f>
        <v>0</v>
      </c>
      <c r="H16" s="1058" t="n">
        <f>'برنامه خرد'!AG7</f>
        <v>240</v>
      </c>
      <c r="I16" s="1061"/>
      <c r="J16" s="1064" t="str">
        <f>IF(I16="","",IFERROR(I16/H16,0))</f>
      </c>
      <c r="K16" s="1058" t="n">
        <f>'برنامه خرد'!AI7</f>
        <v>34</v>
      </c>
      <c r="L16" s="1061"/>
      <c r="M16" s="1064" t="str">
        <f>IF(OR(L16="",K16=0),"",IFERROR(L16/K16,0))</f>
      </c>
      <c r="N16" s="1058" t="n">
        <f>'برنامه خرد'!AJ7</f>
        <v>17</v>
      </c>
      <c r="O16" s="1061"/>
      <c r="P16" s="1064" t="str">
        <f>IF(O16="","",IFERROR(O16/N16,0))</f>
      </c>
      <c r="Q16" s="1061"/>
      <c r="R16" s="1061"/>
      <c r="S16" s="1061"/>
      <c r="T16" s="1042"/>
      <c r="U16" s="1042"/>
      <c r="V16" s="1042"/>
      <c r="W16" s="1064" t="str">
        <f>IF(COUNT(J16,M16,P16)=0,"",AVERAGE(J16,M16,P16))</f>
      </c>
      <c r="X16" s="680" t="str">
        <f>IF(I16="","",I16-H16)</f>
      </c>
      <c r="Y16" s="368" t="str">
        <f>IF(I16="","ثبت‌نشده",IF(W16&gt;=0.9,"مطلوب",IF(W16&gt;=0.6,"نسبی","نیازمند جبران")))</f>
        <v>ثبت‌نشده</v>
      </c>
      <c r="Z16" s="1066" t="n">
        <f>'برنامه خرد'!I7</f>
        <v>46242</v>
      </c>
      <c r="AA16" s="61" t="n">
        <f>IF(I16="",0,1)</f>
        <v>0</v>
      </c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1423"/>
      <c r="AZ16" s="1423"/>
      <c r="BA16" s="1423"/>
      <c r="BB16" s="1423"/>
      <c r="BC16" s="1423"/>
      <c r="BD16" s="1423"/>
      <c r="BE16" s="1423"/>
      <c r="BF16" s="1423"/>
      <c r="BG16" s="1423"/>
      <c r="BH16" s="1423"/>
      <c r="BI16" s="1423"/>
      <c r="BJ16" s="1423"/>
      <c r="BK16" s="1423"/>
      <c r="BL16" s="1423"/>
      <c r="BM16" s="1423"/>
    </row>
    <row r="17" ht="48" customHeight="1">
      <c r="A17" s="280" t="str">
        <f>'برنامه خرد'!A8</f>
        <v>۱۴۰۵/۰۵/۱۸</v>
      </c>
      <c r="B17" s="281" t="str">
        <f>'برنامه خرد'!B8</f>
        <v>یکشنبه</v>
      </c>
      <c r="C17" s="681" t="n">
        <f>'برنامه خرد'!K8</f>
        <v>2</v>
      </c>
      <c r="D17" s="281" t="str">
        <f>IF('برنامه خرد'!N8='برنامه خرد'!O8,'برنامه خرد'!N8,'برنامه خرد'!N8&amp;" + "&amp;'برنامه خرد'!O8)</f>
        <v>آسیب‌شناسی روانی + نظریه‌های روان‌درمانی پروچاسکا</v>
      </c>
      <c r="E17" s="281" t="str">
        <f>'برنامه خرد'!E8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7" s="1054" t="str">
        <f>'برنامه خرد'!G8</f>
        <v>انجام‌نشده</v>
      </c>
      <c r="G17" s="1058" t="n">
        <f>'برنامه خرد'!AB8</f>
        <v>0</v>
      </c>
      <c r="H17" s="1058" t="n">
        <f>'برنامه خرد'!AG8</f>
        <v>240</v>
      </c>
      <c r="I17" s="1061"/>
      <c r="J17" s="1064" t="str">
        <f>IF(I17="","",IFERROR(I17/H17,0))</f>
      </c>
      <c r="K17" s="1058" t="n">
        <f>'برنامه خرد'!AI8</f>
        <v>29</v>
      </c>
      <c r="L17" s="1061"/>
      <c r="M17" s="1064" t="str">
        <f>IF(OR(L17="",K17=0),"",IFERROR(L17/K17,0))</f>
      </c>
      <c r="N17" s="1058" t="n">
        <f>'برنامه خرد'!AJ8</f>
        <v>17</v>
      </c>
      <c r="O17" s="1061"/>
      <c r="P17" s="1064" t="str">
        <f>IF(O17="","",IFERROR(O17/N17,0))</f>
      </c>
      <c r="Q17" s="1061"/>
      <c r="R17" s="1061"/>
      <c r="S17" s="1061"/>
      <c r="T17" s="1042"/>
      <c r="U17" s="1042"/>
      <c r="V17" s="1042"/>
      <c r="W17" s="1064" t="str">
        <f>IF(COUNT(J17,M17,P17)=0,"",AVERAGE(J17,M17,P17))</f>
      </c>
      <c r="X17" s="681" t="str">
        <f>IF(I17="","",I17-H17)</f>
      </c>
      <c r="Y17" s="282" t="str">
        <f>IF(I17="","ثبت‌نشده",IF(W17&gt;=0.9,"مطلوب",IF(W17&gt;=0.6,"نسبی","نیازمند جبران")))</f>
        <v>ثبت‌نشده</v>
      </c>
      <c r="Z17" s="1066" t="n">
        <f>'برنامه خرد'!I8</f>
        <v>46243</v>
      </c>
      <c r="AA17" s="61" t="n">
        <f>IF(I17="",0,1)</f>
        <v>0</v>
      </c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1423"/>
      <c r="AZ17" s="1423"/>
      <c r="BA17" s="1423"/>
      <c r="BB17" s="1423"/>
      <c r="BC17" s="1423"/>
      <c r="BD17" s="1423"/>
      <c r="BE17" s="1423"/>
      <c r="BF17" s="1423"/>
      <c r="BG17" s="1423"/>
      <c r="BH17" s="1423"/>
      <c r="BI17" s="1423"/>
      <c r="BJ17" s="1423"/>
      <c r="BK17" s="1423"/>
      <c r="BL17" s="1423"/>
      <c r="BM17" s="1423"/>
    </row>
    <row r="18" ht="48" customHeight="1">
      <c r="A18" s="366" t="str">
        <f>'برنامه خرد'!A9</f>
        <v>۱۴۰۵/۰۵/۱۹</v>
      </c>
      <c r="B18" s="367" t="str">
        <f>'برنامه خرد'!B9</f>
        <v>دوشنبه</v>
      </c>
      <c r="C18" s="680" t="n">
        <f>'برنامه خرد'!K9</f>
        <v>2</v>
      </c>
      <c r="D18" s="367" t="str">
        <f>IF('برنامه خرد'!N9='برنامه خرد'!O9,'برنامه خرد'!N9,'برنامه خرد'!N9&amp;" + "&amp;'برنامه خرد'!O9)</f>
        <v>نظریه‌های روان‌درمانی پروچاسکا + آسیب‌شناسی روانی</v>
      </c>
      <c r="E18" s="367" t="str">
        <f>'برنامه خرد'!E9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8" s="1054" t="str">
        <f>'برنامه خرد'!G9</f>
        <v>انجام‌نشده</v>
      </c>
      <c r="G18" s="1058" t="n">
        <f>'برنامه خرد'!AB9</f>
        <v>0</v>
      </c>
      <c r="H18" s="1058" t="n">
        <f>'برنامه خرد'!AG9</f>
        <v>240</v>
      </c>
      <c r="I18" s="1061"/>
      <c r="J18" s="1064" t="str">
        <f>IF(I18="","",IFERROR(I18/H18,0))</f>
      </c>
      <c r="K18" s="1058" t="n">
        <f>'برنامه خرد'!AI9</f>
        <v>34</v>
      </c>
      <c r="L18" s="1061"/>
      <c r="M18" s="1064" t="str">
        <f>IF(OR(L18="",K18=0),"",IFERROR(L18/K18,0))</f>
      </c>
      <c r="N18" s="1058" t="n">
        <f>'برنامه خرد'!AJ9</f>
        <v>17</v>
      </c>
      <c r="O18" s="1061"/>
      <c r="P18" s="1064" t="str">
        <f>IF(O18="","",IFERROR(O18/N18,0))</f>
      </c>
      <c r="Q18" s="1061"/>
      <c r="R18" s="1061"/>
      <c r="S18" s="1061"/>
      <c r="T18" s="1042"/>
      <c r="U18" s="1042"/>
      <c r="V18" s="1042"/>
      <c r="W18" s="1064" t="str">
        <f>IF(COUNT(J18,M18,P18)=0,"",AVERAGE(J18,M18,P18))</f>
      </c>
      <c r="X18" s="680" t="str">
        <f>IF(I18="","",I18-H18)</f>
      </c>
      <c r="Y18" s="368" t="str">
        <f>IF(I18="","ثبت‌نشده",IF(W18&gt;=0.9,"مطلوب",IF(W18&gt;=0.6,"نسبی","نیازمند جبران")))</f>
        <v>ثبت‌نشده</v>
      </c>
      <c r="Z18" s="1066" t="n">
        <f>'برنامه خرد'!I9</f>
        <v>46244</v>
      </c>
      <c r="AA18" s="61" t="n">
        <f>IF(I18="",0,1)</f>
        <v>0</v>
      </c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1423"/>
      <c r="AZ18" s="1423"/>
      <c r="BA18" s="1423"/>
      <c r="BB18" s="1423"/>
      <c r="BC18" s="1423"/>
      <c r="BD18" s="1423"/>
      <c r="BE18" s="1423"/>
      <c r="BF18" s="1423"/>
      <c r="BG18" s="1423"/>
      <c r="BH18" s="1423"/>
      <c r="BI18" s="1423"/>
      <c r="BJ18" s="1423"/>
      <c r="BK18" s="1423"/>
      <c r="BL18" s="1423"/>
      <c r="BM18" s="1423"/>
    </row>
    <row r="19" ht="48" customHeight="1">
      <c r="A19" s="280" t="str">
        <f>'برنامه خرد'!A10</f>
        <v>۱۴۰۵/۰۵/۲۰</v>
      </c>
      <c r="B19" s="281" t="str">
        <f>'برنامه خرد'!B10</f>
        <v>سه‌شنبه</v>
      </c>
      <c r="C19" s="681" t="n">
        <f>'برنامه خرد'!K10</f>
        <v>2</v>
      </c>
      <c r="D19" s="281" t="str">
        <f>IF('برنامه خرد'!N10='برنامه خرد'!O10,'برنامه خرد'!N10,'برنامه خرد'!N10&amp;" + "&amp;'برنامه خرد'!O10)</f>
        <v>روان‌شناسی رشد کرین + آسیب‌شناسی روانی</v>
      </c>
      <c r="E19" s="281" t="str">
        <f>'برنامه خرد'!E10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19" s="1054" t="str">
        <f>'برنامه خرد'!G10</f>
        <v>انجام‌نشده</v>
      </c>
      <c r="G19" s="1058" t="n">
        <f>'برنامه خرد'!AB10</f>
        <v>0</v>
      </c>
      <c r="H19" s="1058" t="n">
        <f>'برنامه خرد'!AG10</f>
        <v>240</v>
      </c>
      <c r="I19" s="1061"/>
      <c r="J19" s="1064" t="str">
        <f>IF(I19="","",IFERROR(I19/H19,0))</f>
      </c>
      <c r="K19" s="1058" t="n">
        <f>'برنامه خرد'!AI10</f>
        <v>26</v>
      </c>
      <c r="L19" s="1061"/>
      <c r="M19" s="1064" t="str">
        <f>IF(OR(L19="",K19=0),"",IFERROR(L19/K19,0))</f>
      </c>
      <c r="N19" s="1058" t="n">
        <f>'برنامه خرد'!AJ10</f>
        <v>17</v>
      </c>
      <c r="O19" s="1061"/>
      <c r="P19" s="1064" t="str">
        <f>IF(O19="","",IFERROR(O19/N19,0))</f>
      </c>
      <c r="Q19" s="1061"/>
      <c r="R19" s="1061"/>
      <c r="S19" s="1061"/>
      <c r="T19" s="1042"/>
      <c r="U19" s="1042"/>
      <c r="V19" s="1042"/>
      <c r="W19" s="1064" t="str">
        <f>IF(COUNT(J19,M19,P19)=0,"",AVERAGE(J19,M19,P19))</f>
      </c>
      <c r="X19" s="681" t="str">
        <f>IF(I19="","",I19-H19)</f>
      </c>
      <c r="Y19" s="282" t="str">
        <f>IF(I19="","ثبت‌نشده",IF(W19&gt;=0.9,"مطلوب",IF(W19&gt;=0.6,"نسبی","نیازمند جبران")))</f>
        <v>ثبت‌نشده</v>
      </c>
      <c r="Z19" s="1066" t="n">
        <f>'برنامه خرد'!I10</f>
        <v>46245</v>
      </c>
      <c r="AA19" s="61" t="n">
        <f>IF(I19="",0,1)</f>
        <v>0</v>
      </c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1423"/>
      <c r="AZ19" s="1423"/>
      <c r="BA19" s="1423"/>
      <c r="BB19" s="1423"/>
      <c r="BC19" s="1423"/>
      <c r="BD19" s="1423"/>
      <c r="BE19" s="1423"/>
      <c r="BF19" s="1423"/>
      <c r="BG19" s="1423"/>
      <c r="BH19" s="1423"/>
      <c r="BI19" s="1423"/>
      <c r="BJ19" s="1423"/>
      <c r="BK19" s="1423"/>
      <c r="BL19" s="1423"/>
      <c r="BM19" s="1423"/>
    </row>
    <row r="20" ht="48" customHeight="1">
      <c r="A20" s="366" t="str">
        <f>'برنامه خرد'!A11</f>
        <v>۱۴۰۵/۰۵/۲۱</v>
      </c>
      <c r="B20" s="367" t="str">
        <f>'برنامه خرد'!B11</f>
        <v>چهارشنبه</v>
      </c>
      <c r="C20" s="680" t="n">
        <f>'برنامه خرد'!K11</f>
        <v>2</v>
      </c>
      <c r="D20" s="367" t="str">
        <f>IF('برنامه خرد'!N11='برنامه خرد'!O11,'برنامه خرد'!N11,'برنامه خرد'!N11&amp;" + "&amp;'برنامه خرد'!O11)</f>
        <v>نظریه‌های روان‌درمانی پروچاسکا + آسیب‌شناسی روانی</v>
      </c>
      <c r="E20" s="367" t="str">
        <f>'برنامه خرد'!E11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0" s="1054" t="str">
        <f>'برنامه خرد'!G11</f>
        <v>انجام‌نشده</v>
      </c>
      <c r="G20" s="1058" t="n">
        <f>'برنامه خرد'!AB11</f>
        <v>0</v>
      </c>
      <c r="H20" s="1058" t="n">
        <f>'برنامه خرد'!AG11</f>
        <v>240</v>
      </c>
      <c r="I20" s="1061"/>
      <c r="J20" s="1064" t="str">
        <f>IF(I20="","",IFERROR(I20/H20,0))</f>
      </c>
      <c r="K20" s="1058" t="n">
        <f>'برنامه خرد'!AI11</f>
        <v>34</v>
      </c>
      <c r="L20" s="1061"/>
      <c r="M20" s="1064" t="str">
        <f>IF(OR(L20="",K20=0),"",IFERROR(L20/K20,0))</f>
      </c>
      <c r="N20" s="1058" t="n">
        <f>'برنامه خرد'!AJ11</f>
        <v>17</v>
      </c>
      <c r="O20" s="1061"/>
      <c r="P20" s="1064" t="str">
        <f>IF(O20="","",IFERROR(O20/N20,0))</f>
      </c>
      <c r="Q20" s="1061"/>
      <c r="R20" s="1061"/>
      <c r="S20" s="1061"/>
      <c r="T20" s="1042"/>
      <c r="U20" s="1042"/>
      <c r="V20" s="1042"/>
      <c r="W20" s="1064" t="str">
        <f>IF(COUNT(J20,M20,P20)=0,"",AVERAGE(J20,M20,P20))</f>
      </c>
      <c r="X20" s="680" t="str">
        <f>IF(I20="","",I20-H20)</f>
      </c>
      <c r="Y20" s="368" t="str">
        <f>IF(I20="","ثبت‌نشده",IF(W20&gt;=0.9,"مطلوب",IF(W20&gt;=0.6,"نسبی","نیازمند جبران")))</f>
        <v>ثبت‌نشده</v>
      </c>
      <c r="Z20" s="1066" t="n">
        <f>'برنامه خرد'!I11</f>
        <v>46246</v>
      </c>
      <c r="AA20" s="61" t="n">
        <f>IF(I20="",0,1)</f>
        <v>0</v>
      </c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1423"/>
      <c r="AZ20" s="1423"/>
      <c r="BA20" s="1423"/>
      <c r="BB20" s="1423"/>
      <c r="BC20" s="1423"/>
      <c r="BD20" s="1423"/>
      <c r="BE20" s="1423"/>
      <c r="BF20" s="1423"/>
      <c r="BG20" s="1423"/>
      <c r="BH20" s="1423"/>
      <c r="BI20" s="1423"/>
      <c r="BJ20" s="1423"/>
      <c r="BK20" s="1423"/>
      <c r="BL20" s="1423"/>
      <c r="BM20" s="1423"/>
    </row>
    <row r="21" ht="48" customHeight="1">
      <c r="A21" s="280" t="str">
        <f>'برنامه خرد'!A12</f>
        <v>۱۴۰۵/۰۵/۲۲</v>
      </c>
      <c r="B21" s="281" t="str">
        <f>'برنامه خرد'!B12</f>
        <v>پنجشنبه</v>
      </c>
      <c r="C21" s="681" t="n">
        <f>'برنامه خرد'!K12</f>
        <v>2</v>
      </c>
      <c r="D21" s="281" t="str">
        <f>IF('برنامه خرد'!N12='برنامه خرد'!O12,'برنامه خرد'!N12,'برنامه خرد'!N12&amp;" + "&amp;'برنامه خرد'!O12)</f>
        <v>آسیب‌شناسی روانی + نظریه‌های روان‌درمانی پروچاسکا</v>
      </c>
      <c r="E21" s="281" t="str">
        <f>'برنامه خرد'!E12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1" s="1054" t="str">
        <f>'برنامه خرد'!G12</f>
        <v>انجام‌نشده</v>
      </c>
      <c r="G21" s="1058" t="n">
        <f>'برنامه خرد'!AB12</f>
        <v>0</v>
      </c>
      <c r="H21" s="1058" t="n">
        <f>'برنامه خرد'!AG12</f>
        <v>240</v>
      </c>
      <c r="I21" s="1061"/>
      <c r="J21" s="1064" t="str">
        <f>IF(I21="","",IFERROR(I21/H21,0))</f>
      </c>
      <c r="K21" s="1058" t="n">
        <f>'برنامه خرد'!AI12</f>
        <v>29</v>
      </c>
      <c r="L21" s="1061"/>
      <c r="M21" s="1064" t="str">
        <f>IF(OR(L21="",K21=0),"",IFERROR(L21/K21,0))</f>
      </c>
      <c r="N21" s="1058" t="n">
        <f>'برنامه خرد'!AJ12</f>
        <v>17</v>
      </c>
      <c r="O21" s="1061"/>
      <c r="P21" s="1064" t="str">
        <f>IF(O21="","",IFERROR(O21/N21,0))</f>
      </c>
      <c r="Q21" s="1061"/>
      <c r="R21" s="1061"/>
      <c r="S21" s="1061"/>
      <c r="T21" s="1042"/>
      <c r="U21" s="1042"/>
      <c r="V21" s="1042"/>
      <c r="W21" s="1064" t="str">
        <f>IF(COUNT(J21,M21,P21)=0,"",AVERAGE(J21,M21,P21))</f>
      </c>
      <c r="X21" s="681" t="str">
        <f>IF(I21="","",I21-H21)</f>
      </c>
      <c r="Y21" s="282" t="str">
        <f>IF(I21="","ثبت‌نشده",IF(W21&gt;=0.9,"مطلوب",IF(W21&gt;=0.6,"نسبی","نیازمند جبران")))</f>
        <v>ثبت‌نشده</v>
      </c>
      <c r="Z21" s="1066" t="n">
        <f>'برنامه خرد'!I12</f>
        <v>46247</v>
      </c>
      <c r="AA21" s="61" t="n">
        <f>IF(I21="",0,1)</f>
        <v>0</v>
      </c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1423"/>
      <c r="AZ21" s="1423"/>
      <c r="BA21" s="1423"/>
      <c r="BB21" s="1423"/>
      <c r="BC21" s="1423"/>
      <c r="BD21" s="1423"/>
      <c r="BE21" s="1423"/>
      <c r="BF21" s="1423"/>
      <c r="BG21" s="1423"/>
      <c r="BH21" s="1423"/>
      <c r="BI21" s="1423"/>
      <c r="BJ21" s="1423"/>
      <c r="BK21" s="1423"/>
      <c r="BL21" s="1423"/>
      <c r="BM21" s="1423"/>
    </row>
    <row r="22" ht="48" customHeight="1">
      <c r="A22" s="366" t="str">
        <f>'برنامه خرد'!A13</f>
        <v>۱۴۰۵/۰۵/۲۳</v>
      </c>
      <c r="B22" s="367" t="str">
        <f>'برنامه خرد'!B13</f>
        <v>جمعه</v>
      </c>
      <c r="C22" s="680" t="n">
        <f>'برنامه خرد'!K13</f>
        <v>2</v>
      </c>
      <c r="D22" s="367" t="str">
        <f>IF('برنامه خرد'!N13='برنامه خرد'!O13,'برنامه خرد'!N13,'برنامه خرد'!N13&amp;" + "&amp;'برنامه خرد'!O13)</f>
        <v>نظریه‌های روان‌درمانی پروچاسکا</v>
      </c>
      <c r="E22" s="367" t="str">
        <f>'برنامه خرد'!E13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22" s="1054" t="str">
        <f>'برنامه خرد'!G13</f>
        <v>انجام‌نشده</v>
      </c>
      <c r="G22" s="1058" t="n">
        <f>'برنامه خرد'!AB13</f>
        <v>0</v>
      </c>
      <c r="H22" s="1058" t="n">
        <f>'برنامه خرد'!AG13</f>
        <v>240</v>
      </c>
      <c r="I22" s="1061"/>
      <c r="J22" s="1064" t="str">
        <f>IF(I22="","",IFERROR(I22/H22,0))</f>
      </c>
      <c r="K22" s="1058" t="n">
        <f>'برنامه خرد'!AI13</f>
        <v>28</v>
      </c>
      <c r="L22" s="1061"/>
      <c r="M22" s="1064" t="str">
        <f>IF(OR(L22="",K22=0),"",IFERROR(L22/K22,0))</f>
      </c>
      <c r="N22" s="1058" t="n">
        <f>'برنامه خرد'!AJ13</f>
        <v>17</v>
      </c>
      <c r="O22" s="1061"/>
      <c r="P22" s="1064" t="str">
        <f>IF(O22="","",IFERROR(O22/N22,0))</f>
      </c>
      <c r="Q22" s="1061"/>
      <c r="R22" s="1061"/>
      <c r="S22" s="1061"/>
      <c r="T22" s="1042"/>
      <c r="U22" s="1042"/>
      <c r="V22" s="1042"/>
      <c r="W22" s="1064" t="str">
        <f>IF(COUNT(J22,M22,P22)=0,"",AVERAGE(J22,M22,P22))</f>
      </c>
      <c r="X22" s="680" t="str">
        <f>IF(I22="","",I22-H22)</f>
      </c>
      <c r="Y22" s="368" t="str">
        <f>IF(I22="","ثبت‌نشده",IF(W22&gt;=0.9,"مطلوب",IF(W22&gt;=0.6,"نسبی","نیازمند جبران")))</f>
        <v>ثبت‌نشده</v>
      </c>
      <c r="Z22" s="1066" t="n">
        <f>'برنامه خرد'!I13</f>
        <v>46248</v>
      </c>
      <c r="AA22" s="61" t="n">
        <f>IF(I22="",0,1)</f>
        <v>0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1423"/>
      <c r="AZ22" s="1423"/>
      <c r="BA22" s="1423"/>
      <c r="BB22" s="1423"/>
      <c r="BC22" s="1423"/>
      <c r="BD22" s="1423"/>
      <c r="BE22" s="1423"/>
      <c r="BF22" s="1423"/>
      <c r="BG22" s="1423"/>
      <c r="BH22" s="1423"/>
      <c r="BI22" s="1423"/>
      <c r="BJ22" s="1423"/>
      <c r="BK22" s="1423"/>
      <c r="BL22" s="1423"/>
      <c r="BM22" s="1423"/>
    </row>
    <row r="23" ht="48" customHeight="1">
      <c r="A23" s="280" t="str">
        <f>'برنامه خرد'!A14</f>
        <v>۱۴۰۵/۰۵/۲۴</v>
      </c>
      <c r="B23" s="281" t="str">
        <f>'برنامه خرد'!B14</f>
        <v>شنبه</v>
      </c>
      <c r="C23" s="681" t="n">
        <f>'برنامه خرد'!K14</f>
        <v>3</v>
      </c>
      <c r="D23" s="281" t="str">
        <f>IF('برنامه خرد'!N14='برنامه خرد'!O14,'برنامه خرد'!N14,'برنامه خرد'!N14&amp;" + "&amp;'برنامه خرد'!O14)</f>
        <v>آسیب‌شناسی روانی + روان‌شناسی رشد کرین</v>
      </c>
      <c r="E23" s="281" t="str">
        <f>'برنامه خرد'!E14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3" s="1054" t="str">
        <f>'برنامه خرد'!G14</f>
        <v>انجام‌نشده</v>
      </c>
      <c r="G23" s="1058" t="n">
        <f>'برنامه خرد'!AB14</f>
        <v>0</v>
      </c>
      <c r="H23" s="1058" t="n">
        <f>'برنامه خرد'!AG14</f>
        <v>240</v>
      </c>
      <c r="I23" s="1061"/>
      <c r="J23" s="1064" t="str">
        <f>IF(I23="","",IFERROR(I23/H23,0))</f>
      </c>
      <c r="K23" s="1058" t="n">
        <f>'برنامه خرد'!AI14</f>
        <v>27</v>
      </c>
      <c r="L23" s="1061"/>
      <c r="M23" s="1064" t="str">
        <f>IF(OR(L23="",K23=0),"",IFERROR(L23/K23,0))</f>
      </c>
      <c r="N23" s="1058" t="n">
        <f>'برنامه خرد'!AJ14</f>
        <v>17</v>
      </c>
      <c r="O23" s="1061"/>
      <c r="P23" s="1064" t="str">
        <f>IF(O23="","",IFERROR(O23/N23,0))</f>
      </c>
      <c r="Q23" s="1061"/>
      <c r="R23" s="1061"/>
      <c r="S23" s="1061"/>
      <c r="T23" s="1042"/>
      <c r="U23" s="1042"/>
      <c r="V23" s="1042"/>
      <c r="W23" s="1064" t="str">
        <f>IF(COUNT(J23,M23,P23)=0,"",AVERAGE(J23,M23,P23))</f>
      </c>
      <c r="X23" s="681" t="str">
        <f>IF(I23="","",I23-H23)</f>
      </c>
      <c r="Y23" s="282" t="str">
        <f>IF(I23="","ثبت‌نشده",IF(W23&gt;=0.9,"مطلوب",IF(W23&gt;=0.6,"نسبی","نیازمند جبران")))</f>
        <v>ثبت‌نشده</v>
      </c>
      <c r="Z23" s="1066" t="n">
        <f>'برنامه خرد'!I14</f>
        <v>46249</v>
      </c>
      <c r="AA23" s="61" t="n">
        <f>IF(I23="",0,1)</f>
        <v>0</v>
      </c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1423"/>
      <c r="AZ23" s="1423"/>
      <c r="BA23" s="1423"/>
      <c r="BB23" s="1423"/>
      <c r="BC23" s="1423"/>
      <c r="BD23" s="1423"/>
      <c r="BE23" s="1423"/>
      <c r="BF23" s="1423"/>
      <c r="BG23" s="1423"/>
      <c r="BH23" s="1423"/>
      <c r="BI23" s="1423"/>
      <c r="BJ23" s="1423"/>
      <c r="BK23" s="1423"/>
      <c r="BL23" s="1423"/>
      <c r="BM23" s="1423"/>
    </row>
    <row r="24" ht="48" customHeight="1">
      <c r="A24" s="366" t="str">
        <f>'برنامه خرد'!A15</f>
        <v>۱۴۰۵/۰۵/۲۵</v>
      </c>
      <c r="B24" s="367" t="str">
        <f>'برنامه خرد'!B15</f>
        <v>یکشنبه</v>
      </c>
      <c r="C24" s="680" t="n">
        <f>'برنامه خرد'!K15</f>
        <v>3</v>
      </c>
      <c r="D24" s="367" t="str">
        <f>IF('برنامه خرد'!N15='برنامه خرد'!O15,'برنامه خرد'!N15,'برنامه خرد'!N15&amp;" + "&amp;'برنامه خرد'!O15)</f>
        <v>نظریه‌های روان‌درمانی پروچاسکا + روان‌شناسی رشد کرین</v>
      </c>
      <c r="E24" s="367" t="str">
        <f>'برنامه خرد'!E15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4" s="1054" t="str">
        <f>'برنامه خرد'!G15</f>
        <v>انجام‌نشده</v>
      </c>
      <c r="G24" s="1058" t="n">
        <f>'برنامه خرد'!AB15</f>
        <v>0</v>
      </c>
      <c r="H24" s="1058" t="n">
        <f>'برنامه خرد'!AG15</f>
        <v>240</v>
      </c>
      <c r="I24" s="1061"/>
      <c r="J24" s="1064" t="str">
        <f>IF(I24="","",IFERROR(I24/H24,0))</f>
      </c>
      <c r="K24" s="1058" t="n">
        <f>'برنامه خرد'!AI15</f>
        <v>34</v>
      </c>
      <c r="L24" s="1061"/>
      <c r="M24" s="1064" t="str">
        <f>IF(OR(L24="",K24=0),"",IFERROR(L24/K24,0))</f>
      </c>
      <c r="N24" s="1058" t="n">
        <f>'برنامه خرد'!AJ15</f>
        <v>17</v>
      </c>
      <c r="O24" s="1061"/>
      <c r="P24" s="1064" t="str">
        <f>IF(O24="","",IFERROR(O24/N24,0))</f>
      </c>
      <c r="Q24" s="1061"/>
      <c r="R24" s="1061"/>
      <c r="S24" s="1061"/>
      <c r="T24" s="1042"/>
      <c r="U24" s="1042"/>
      <c r="V24" s="1042"/>
      <c r="W24" s="1064" t="str">
        <f>IF(COUNT(J24,M24,P24)=0,"",AVERAGE(J24,M24,P24))</f>
      </c>
      <c r="X24" s="680" t="str">
        <f>IF(I24="","",I24-H24)</f>
      </c>
      <c r="Y24" s="368" t="str">
        <f>IF(I24="","ثبت‌نشده",IF(W24&gt;=0.9,"مطلوب",IF(W24&gt;=0.6,"نسبی","نیازمند جبران")))</f>
        <v>ثبت‌نشده</v>
      </c>
      <c r="Z24" s="1066" t="n">
        <f>'برنامه خرد'!I15</f>
        <v>46250</v>
      </c>
      <c r="AA24" s="61" t="n">
        <f>IF(I24="",0,1)</f>
        <v>0</v>
      </c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1423"/>
      <c r="AZ24" s="1423"/>
      <c r="BA24" s="1423"/>
      <c r="BB24" s="1423"/>
      <c r="BC24" s="1423"/>
      <c r="BD24" s="1423"/>
      <c r="BE24" s="1423"/>
      <c r="BF24" s="1423"/>
      <c r="BG24" s="1423"/>
      <c r="BH24" s="1423"/>
      <c r="BI24" s="1423"/>
      <c r="BJ24" s="1423"/>
      <c r="BK24" s="1423"/>
      <c r="BL24" s="1423"/>
      <c r="BM24" s="1423"/>
    </row>
    <row r="25" ht="48" customHeight="1">
      <c r="A25" s="280" t="str">
        <f>'برنامه خرد'!A16</f>
        <v>۱۴۰۵/۰۵/۲۶</v>
      </c>
      <c r="B25" s="281" t="str">
        <f>'برنامه خرد'!B16</f>
        <v>دوشنبه</v>
      </c>
      <c r="C25" s="681" t="n">
        <f>'برنامه خرد'!K16</f>
        <v>3</v>
      </c>
      <c r="D25" s="281" t="str">
        <f>IF('برنامه خرد'!N16='برنامه خرد'!O16,'برنامه خرد'!N16,'برنامه خرد'!N16&amp;" + "&amp;'برنامه خرد'!O16)</f>
        <v>آسیب‌شناسی روانی + روان‌شناسی رشد کرین</v>
      </c>
      <c r="E25" s="281" t="str">
        <f>'برنامه خرد'!E16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5" s="1054" t="str">
        <f>'برنامه خرد'!G16</f>
        <v>انجام‌نشده</v>
      </c>
      <c r="G25" s="1058" t="n">
        <f>'برنامه خرد'!AB16</f>
        <v>0</v>
      </c>
      <c r="H25" s="1058" t="n">
        <f>'برنامه خرد'!AG16</f>
        <v>240</v>
      </c>
      <c r="I25" s="1061"/>
      <c r="J25" s="1064" t="str">
        <f>IF(I25="","",IFERROR(I25/H25,0))</f>
      </c>
      <c r="K25" s="1058" t="n">
        <f>'برنامه خرد'!AI16</f>
        <v>27</v>
      </c>
      <c r="L25" s="1061"/>
      <c r="M25" s="1064" t="str">
        <f>IF(OR(L25="",K25=0),"",IFERROR(L25/K25,0))</f>
      </c>
      <c r="N25" s="1058" t="n">
        <f>'برنامه خرد'!AJ16</f>
        <v>17</v>
      </c>
      <c r="O25" s="1061"/>
      <c r="P25" s="1064" t="str">
        <f>IF(O25="","",IFERROR(O25/N25,0))</f>
      </c>
      <c r="Q25" s="1061"/>
      <c r="R25" s="1061"/>
      <c r="S25" s="1061"/>
      <c r="T25" s="1042"/>
      <c r="U25" s="1042"/>
      <c r="V25" s="1042"/>
      <c r="W25" s="1064" t="str">
        <f>IF(COUNT(J25,M25,P25)=0,"",AVERAGE(J25,M25,P25))</f>
      </c>
      <c r="X25" s="681" t="str">
        <f>IF(I25="","",I25-H25)</f>
      </c>
      <c r="Y25" s="282" t="str">
        <f>IF(I25="","ثبت‌نشده",IF(W25&gt;=0.9,"مطلوب",IF(W25&gt;=0.6,"نسبی","نیازمند جبران")))</f>
        <v>ثبت‌نشده</v>
      </c>
      <c r="Z25" s="1066" t="n">
        <f>'برنامه خرد'!I16</f>
        <v>46251</v>
      </c>
      <c r="AA25" s="61" t="n">
        <f>IF(I25="",0,1)</f>
        <v>0</v>
      </c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1423"/>
      <c r="AZ25" s="1423"/>
      <c r="BA25" s="1423"/>
      <c r="BB25" s="1423"/>
      <c r="BC25" s="1423"/>
      <c r="BD25" s="1423"/>
      <c r="BE25" s="1423"/>
      <c r="BF25" s="1423"/>
      <c r="BG25" s="1423"/>
      <c r="BH25" s="1423"/>
      <c r="BI25" s="1423"/>
      <c r="BJ25" s="1423"/>
      <c r="BK25" s="1423"/>
      <c r="BL25" s="1423"/>
      <c r="BM25" s="1423"/>
    </row>
    <row r="26" ht="48" customHeight="1">
      <c r="A26" s="366" t="str">
        <f>'برنامه خرد'!A17</f>
        <v>۱۴۰۵/۰۵/۲۷</v>
      </c>
      <c r="B26" s="367" t="str">
        <f>'برنامه خرد'!B17</f>
        <v>سه‌شنبه</v>
      </c>
      <c r="C26" s="680" t="n">
        <f>'برنامه خرد'!K17</f>
        <v>3</v>
      </c>
      <c r="D26" s="367" t="str">
        <f>IF('برنامه خرد'!N17='برنامه خرد'!O17,'برنامه خرد'!N17,'برنامه خرد'!N17&amp;" + "&amp;'برنامه خرد'!O17)</f>
        <v>روان‌شناسی رشد کرین + نظریه‌های روان‌درمانی پروچاسکا</v>
      </c>
      <c r="E26" s="367" t="str">
        <f>'برنامه خرد'!E17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6" s="1054" t="str">
        <f>'برنامه خرد'!G17</f>
        <v>انجام‌نشده</v>
      </c>
      <c r="G26" s="1058" t="n">
        <f>'برنامه خرد'!AB17</f>
        <v>0</v>
      </c>
      <c r="H26" s="1058" t="n">
        <f>'برنامه خرد'!AG17</f>
        <v>240</v>
      </c>
      <c r="I26" s="1061"/>
      <c r="J26" s="1064" t="str">
        <f>IF(I26="","",IFERROR(I26/H26,0))</f>
      </c>
      <c r="K26" s="1058" t="n">
        <f>'برنامه خرد'!AI17</f>
        <v>28</v>
      </c>
      <c r="L26" s="1061"/>
      <c r="M26" s="1064" t="str">
        <f>IF(OR(L26="",K26=0),"",IFERROR(L26/K26,0))</f>
      </c>
      <c r="N26" s="1058" t="n">
        <f>'برنامه خرد'!AJ17</f>
        <v>17</v>
      </c>
      <c r="O26" s="1061"/>
      <c r="P26" s="1064" t="str">
        <f>IF(O26="","",IFERROR(O26/N26,0))</f>
      </c>
      <c r="Q26" s="1061"/>
      <c r="R26" s="1061"/>
      <c r="S26" s="1061"/>
      <c r="T26" s="1042"/>
      <c r="U26" s="1042"/>
      <c r="V26" s="1042"/>
      <c r="W26" s="1064" t="str">
        <f>IF(COUNT(J26,M26,P26)=0,"",AVERAGE(J26,M26,P26))</f>
      </c>
      <c r="X26" s="680" t="str">
        <f>IF(I26="","",I26-H26)</f>
      </c>
      <c r="Y26" s="368" t="str">
        <f>IF(I26="","ثبت‌نشده",IF(W26&gt;=0.9,"مطلوب",IF(W26&gt;=0.6,"نسبی","نیازمند جبران")))</f>
        <v>ثبت‌نشده</v>
      </c>
      <c r="Z26" s="1066" t="n">
        <f>'برنامه خرد'!I17</f>
        <v>46252</v>
      </c>
      <c r="AA26" s="61" t="n">
        <f>IF(I26="",0,1)</f>
        <v>0</v>
      </c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1423"/>
      <c r="AZ26" s="1423"/>
      <c r="BA26" s="1423"/>
      <c r="BB26" s="1423"/>
      <c r="BC26" s="1423"/>
      <c r="BD26" s="1423"/>
      <c r="BE26" s="1423"/>
      <c r="BF26" s="1423"/>
      <c r="BG26" s="1423"/>
      <c r="BH26" s="1423"/>
      <c r="BI26" s="1423"/>
      <c r="BJ26" s="1423"/>
      <c r="BK26" s="1423"/>
      <c r="BL26" s="1423"/>
      <c r="BM26" s="1423"/>
    </row>
    <row r="27" ht="48" customHeight="1">
      <c r="A27" s="280" t="str">
        <f>'برنامه خرد'!A18</f>
        <v>۱۴۰۵/۰۵/۲۸</v>
      </c>
      <c r="B27" s="281" t="str">
        <f>'برنامه خرد'!B18</f>
        <v>چهارشنبه</v>
      </c>
      <c r="C27" s="681" t="n">
        <f>'برنامه خرد'!K18</f>
        <v>3</v>
      </c>
      <c r="D27" s="281" t="str">
        <f>IF('برنامه خرد'!N18='برنامه خرد'!O18,'برنامه خرد'!N18,'برنامه خرد'!N18&amp;" + "&amp;'برنامه خرد'!O18)</f>
        <v>آسیب‌شناسی روانی + نظریه‌های روان‌درمانی پروچاسکا</v>
      </c>
      <c r="E27" s="281" t="str">
        <f>'برنامه خرد'!E18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7" s="1054" t="str">
        <f>'برنامه خرد'!G18</f>
        <v>انجام‌نشده</v>
      </c>
      <c r="G27" s="1058" t="n">
        <f>'برنامه خرد'!AB18</f>
        <v>0</v>
      </c>
      <c r="H27" s="1058" t="n">
        <f>'برنامه خرد'!AG18</f>
        <v>240</v>
      </c>
      <c r="I27" s="1061"/>
      <c r="J27" s="1064" t="str">
        <f>IF(I27="","",IFERROR(I27/H27,0))</f>
      </c>
      <c r="K27" s="1058" t="n">
        <f>'برنامه خرد'!AI18</f>
        <v>29</v>
      </c>
      <c r="L27" s="1061"/>
      <c r="M27" s="1064" t="str">
        <f>IF(OR(L27="",K27=0),"",IFERROR(L27/K27,0))</f>
      </c>
      <c r="N27" s="1058" t="n">
        <f>'برنامه خرد'!AJ18</f>
        <v>17</v>
      </c>
      <c r="O27" s="1061"/>
      <c r="P27" s="1064" t="str">
        <f>IF(O27="","",IFERROR(O27/N27,0))</f>
      </c>
      <c r="Q27" s="1061"/>
      <c r="R27" s="1061"/>
      <c r="S27" s="1061"/>
      <c r="T27" s="1042"/>
      <c r="U27" s="1042"/>
      <c r="V27" s="1042"/>
      <c r="W27" s="1064" t="str">
        <f>IF(COUNT(J27,M27,P27)=0,"",AVERAGE(J27,M27,P27))</f>
      </c>
      <c r="X27" s="681" t="str">
        <f>IF(I27="","",I27-H27)</f>
      </c>
      <c r="Y27" s="282" t="str">
        <f>IF(I27="","ثبت‌نشده",IF(W27&gt;=0.9,"مطلوب",IF(W27&gt;=0.6,"نسبی","نیازمند جبران")))</f>
        <v>ثبت‌نشده</v>
      </c>
      <c r="Z27" s="1066" t="n">
        <f>'برنامه خرد'!I18</f>
        <v>46253</v>
      </c>
      <c r="AA27" s="61" t="n">
        <f>IF(I27="",0,1)</f>
        <v>0</v>
      </c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1423"/>
      <c r="AZ27" s="1423"/>
      <c r="BA27" s="1423"/>
      <c r="BB27" s="1423"/>
      <c r="BC27" s="1423"/>
      <c r="BD27" s="1423"/>
      <c r="BE27" s="1423"/>
      <c r="BF27" s="1423"/>
      <c r="BG27" s="1423"/>
      <c r="BH27" s="1423"/>
      <c r="BI27" s="1423"/>
      <c r="BJ27" s="1423"/>
      <c r="BK27" s="1423"/>
      <c r="BL27" s="1423"/>
      <c r="BM27" s="1423"/>
    </row>
    <row r="28" ht="48" customHeight="1">
      <c r="A28" s="366" t="str">
        <f>'برنامه خرد'!A19</f>
        <v>۱۴۰۵/۰۵/۲۹</v>
      </c>
      <c r="B28" s="367" t="str">
        <f>'برنامه خرد'!B19</f>
        <v>پنجشنبه</v>
      </c>
      <c r="C28" s="680" t="n">
        <f>'برنامه خرد'!K19</f>
        <v>3</v>
      </c>
      <c r="D28" s="367" t="str">
        <f>IF('برنامه خرد'!N19='برنامه خرد'!O19,'برنامه خرد'!N19,'برنامه خرد'!N19&amp;" + "&amp;'برنامه خرد'!O19)</f>
        <v>روان‌شناسی رشد کرین + نظریه‌های روان‌درمانی پروچاسکا</v>
      </c>
      <c r="E28" s="367" t="str">
        <f>'برنامه خرد'!E19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28" s="1054" t="str">
        <f>'برنامه خرد'!G19</f>
        <v>انجام‌نشده</v>
      </c>
      <c r="G28" s="1058" t="n">
        <f>'برنامه خرد'!AB19</f>
        <v>0</v>
      </c>
      <c r="H28" s="1058" t="n">
        <f>'برنامه خرد'!AG19</f>
        <v>240</v>
      </c>
      <c r="I28" s="1061"/>
      <c r="J28" s="1064" t="str">
        <f>IF(I28="","",IFERROR(I28/H28,0))</f>
      </c>
      <c r="K28" s="1058" t="n">
        <f>'برنامه خرد'!AI19</f>
        <v>28</v>
      </c>
      <c r="L28" s="1061"/>
      <c r="M28" s="1064" t="str">
        <f>IF(OR(L28="",K28=0),"",IFERROR(L28/K28,0))</f>
      </c>
      <c r="N28" s="1058" t="n">
        <f>'برنامه خرد'!AJ19</f>
        <v>17</v>
      </c>
      <c r="O28" s="1061"/>
      <c r="P28" s="1064" t="str">
        <f>IF(O28="","",IFERROR(O28/N28,0))</f>
      </c>
      <c r="Q28" s="1061"/>
      <c r="R28" s="1061"/>
      <c r="S28" s="1061"/>
      <c r="T28" s="1042"/>
      <c r="U28" s="1042"/>
      <c r="V28" s="1042"/>
      <c r="W28" s="1064" t="str">
        <f>IF(COUNT(J28,M28,P28)=0,"",AVERAGE(J28,M28,P28))</f>
      </c>
      <c r="X28" s="680" t="str">
        <f>IF(I28="","",I28-H28)</f>
      </c>
      <c r="Y28" s="368" t="str">
        <f>IF(I28="","ثبت‌نشده",IF(W28&gt;=0.9,"مطلوب",IF(W28&gt;=0.6,"نسبی","نیازمند جبران")))</f>
        <v>ثبت‌نشده</v>
      </c>
      <c r="Z28" s="1066" t="n">
        <f>'برنامه خرد'!I19</f>
        <v>46254</v>
      </c>
      <c r="AA28" s="61" t="n">
        <f>IF(I28="",0,1)</f>
        <v>0</v>
      </c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1423"/>
      <c r="AZ28" s="1423"/>
      <c r="BA28" s="1423"/>
      <c r="BB28" s="1423"/>
      <c r="BC28" s="1423"/>
      <c r="BD28" s="1423"/>
      <c r="BE28" s="1423"/>
      <c r="BF28" s="1423"/>
      <c r="BG28" s="1423"/>
      <c r="BH28" s="1423"/>
      <c r="BI28" s="1423"/>
      <c r="BJ28" s="1423"/>
      <c r="BK28" s="1423"/>
      <c r="BL28" s="1423"/>
      <c r="BM28" s="1423"/>
    </row>
    <row r="29" ht="48" customHeight="1">
      <c r="A29" s="280" t="str">
        <f>'برنامه خرد'!A20</f>
        <v>۱۴۰۵/۰۵/۳۰</v>
      </c>
      <c r="B29" s="281" t="str">
        <f>'برنامه خرد'!B20</f>
        <v>جمعه</v>
      </c>
      <c r="C29" s="681" t="n">
        <f>'برنامه خرد'!K20</f>
        <v>3</v>
      </c>
      <c r="D29" s="281" t="str">
        <f>IF('برنامه خرد'!N20='برنامه خرد'!O20,'برنامه خرد'!N20,'برنامه خرد'!N20&amp;" + "&amp;'برنامه خرد'!O20)</f>
        <v>نظریه‌های روان‌درمانی پروچاسکا</v>
      </c>
      <c r="E29" s="281" t="str">
        <f>'برنامه خرد'!E20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29" s="1054" t="str">
        <f>'برنامه خرد'!G20</f>
        <v>انجام‌نشده</v>
      </c>
      <c r="G29" s="1058" t="n">
        <f>'برنامه خرد'!AB20</f>
        <v>0</v>
      </c>
      <c r="H29" s="1058" t="n">
        <f>'برنامه خرد'!AG20</f>
        <v>240</v>
      </c>
      <c r="I29" s="1061"/>
      <c r="J29" s="1064" t="str">
        <f>IF(I29="","",IFERROR(I29/H29,0))</f>
      </c>
      <c r="K29" s="1058" t="n">
        <f>'برنامه خرد'!AI20</f>
        <v>28</v>
      </c>
      <c r="L29" s="1061"/>
      <c r="M29" s="1064" t="str">
        <f>IF(OR(L29="",K29=0),"",IFERROR(L29/K29,0))</f>
      </c>
      <c r="N29" s="1058" t="n">
        <f>'برنامه خرد'!AJ20</f>
        <v>17</v>
      </c>
      <c r="O29" s="1061"/>
      <c r="P29" s="1064" t="str">
        <f>IF(O29="","",IFERROR(O29/N29,0))</f>
      </c>
      <c r="Q29" s="1061"/>
      <c r="R29" s="1061"/>
      <c r="S29" s="1061"/>
      <c r="T29" s="1042"/>
      <c r="U29" s="1042"/>
      <c r="V29" s="1042"/>
      <c r="W29" s="1064" t="str">
        <f>IF(COUNT(J29,M29,P29)=0,"",AVERAGE(J29,M29,P29))</f>
      </c>
      <c r="X29" s="681" t="str">
        <f>IF(I29="","",I29-H29)</f>
      </c>
      <c r="Y29" s="282" t="str">
        <f>IF(I29="","ثبت‌نشده",IF(W29&gt;=0.9,"مطلوب",IF(W29&gt;=0.6,"نسبی","نیازمند جبران")))</f>
        <v>ثبت‌نشده</v>
      </c>
      <c r="Z29" s="1066" t="n">
        <f>'برنامه خرد'!I20</f>
        <v>46255</v>
      </c>
      <c r="AA29" s="61" t="n">
        <f>IF(I29="",0,1)</f>
        <v>0</v>
      </c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1423"/>
      <c r="AZ29" s="1423"/>
      <c r="BA29" s="1423"/>
      <c r="BB29" s="1423"/>
      <c r="BC29" s="1423"/>
      <c r="BD29" s="1423"/>
      <c r="BE29" s="1423"/>
      <c r="BF29" s="1423"/>
      <c r="BG29" s="1423"/>
      <c r="BH29" s="1423"/>
      <c r="BI29" s="1423"/>
      <c r="BJ29" s="1423"/>
      <c r="BK29" s="1423"/>
      <c r="BL29" s="1423"/>
      <c r="BM29" s="1423"/>
    </row>
    <row r="30" ht="48" customHeight="1">
      <c r="A30" s="366" t="str">
        <f>'برنامه خرد'!A21</f>
        <v>۱۴۰۵/۰۵/۳۱</v>
      </c>
      <c r="B30" s="367" t="str">
        <f>'برنامه خرد'!B21</f>
        <v>شنبه</v>
      </c>
      <c r="C30" s="680" t="n">
        <f>'برنامه خرد'!K21</f>
        <v>4</v>
      </c>
      <c r="D30" s="367" t="str">
        <f>IF('برنامه خرد'!N21='برنامه خرد'!O21,'برنامه خرد'!N21,'برنامه خرد'!N21&amp;" + "&amp;'برنامه خرد'!O21)</f>
        <v>آسیب‌شناسی روانی + روان‌شناسی رشد کرین</v>
      </c>
      <c r="E30" s="367" t="str">
        <f>'برنامه خرد'!E21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0" s="1054" t="str">
        <f>'برنامه خرد'!G21</f>
        <v>انجام‌نشده</v>
      </c>
      <c r="G30" s="1058" t="n">
        <f>'برنامه خرد'!AB21</f>
        <v>0</v>
      </c>
      <c r="H30" s="1058" t="n">
        <f>'برنامه خرد'!AG21</f>
        <v>240</v>
      </c>
      <c r="I30" s="1061"/>
      <c r="J30" s="1064" t="str">
        <f>IF(I30="","",IFERROR(I30/H30,0))</f>
      </c>
      <c r="K30" s="1058" t="n">
        <f>'برنامه خرد'!AI21</f>
        <v>26</v>
      </c>
      <c r="L30" s="1061"/>
      <c r="M30" s="1064" t="str">
        <f>IF(OR(L30="",K30=0),"",IFERROR(L30/K30,0))</f>
      </c>
      <c r="N30" s="1058" t="n">
        <f>'برنامه خرد'!AJ21</f>
        <v>17</v>
      </c>
      <c r="O30" s="1061"/>
      <c r="P30" s="1064" t="str">
        <f>IF(O30="","",IFERROR(O30/N30,0))</f>
      </c>
      <c r="Q30" s="1061"/>
      <c r="R30" s="1061"/>
      <c r="S30" s="1061"/>
      <c r="T30" s="1042"/>
      <c r="U30" s="1042"/>
      <c r="V30" s="1042"/>
      <c r="W30" s="1064" t="str">
        <f>IF(COUNT(J30,M30,P30)=0,"",AVERAGE(J30,M30,P30))</f>
      </c>
      <c r="X30" s="680" t="str">
        <f>IF(I30="","",I30-H30)</f>
      </c>
      <c r="Y30" s="368" t="str">
        <f>IF(I30="","ثبت‌نشده",IF(W30&gt;=0.9,"مطلوب",IF(W30&gt;=0.6,"نسبی","نیازمند جبران")))</f>
        <v>ثبت‌نشده</v>
      </c>
      <c r="Z30" s="1066" t="n">
        <f>'برنامه خرد'!I21</f>
        <v>46256</v>
      </c>
      <c r="AA30" s="61" t="n">
        <f>IF(I30="",0,1)</f>
        <v>0</v>
      </c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1423"/>
      <c r="AZ30" s="1423"/>
      <c r="BA30" s="1423"/>
      <c r="BB30" s="1423"/>
      <c r="BC30" s="1423"/>
      <c r="BD30" s="1423"/>
      <c r="BE30" s="1423"/>
      <c r="BF30" s="1423"/>
      <c r="BG30" s="1423"/>
      <c r="BH30" s="1423"/>
      <c r="BI30" s="1423"/>
      <c r="BJ30" s="1423"/>
      <c r="BK30" s="1423"/>
      <c r="BL30" s="1423"/>
      <c r="BM30" s="1423"/>
    </row>
    <row r="31" ht="48" customHeight="1">
      <c r="A31" s="280" t="str">
        <f>'برنامه خرد'!A22</f>
        <v>۱۴۰۵/۰۶/۰۱</v>
      </c>
      <c r="B31" s="281" t="str">
        <f>'برنامه خرد'!B22</f>
        <v>یکشنبه</v>
      </c>
      <c r="C31" s="681" t="n">
        <f>'برنامه خرد'!K22</f>
        <v>4</v>
      </c>
      <c r="D31" s="281" t="str">
        <f>IF('برنامه خرد'!N22='برنامه خرد'!O22,'برنامه خرد'!N22,'برنامه خرد'!N22&amp;" + "&amp;'برنامه خرد'!O22)</f>
        <v>نظریه‌های روان‌درمانی پروچاسکا + روان‌شناسی رشد کرین</v>
      </c>
      <c r="E31" s="281" t="str">
        <f>'برنامه خرد'!E22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1" s="1054" t="str">
        <f>'برنامه خرد'!G22</f>
        <v>انجام‌نشده</v>
      </c>
      <c r="G31" s="1058" t="n">
        <f>'برنامه خرد'!AB22</f>
        <v>0</v>
      </c>
      <c r="H31" s="1058" t="n">
        <f>'برنامه خرد'!AG22</f>
        <v>240</v>
      </c>
      <c r="I31" s="1061"/>
      <c r="J31" s="1064" t="str">
        <f>IF(I31="","",IFERROR(I31/H31,0))</f>
      </c>
      <c r="K31" s="1058" t="n">
        <f>'برنامه خرد'!AI22</f>
        <v>34</v>
      </c>
      <c r="L31" s="1061"/>
      <c r="M31" s="1064" t="str">
        <f>IF(OR(L31="",K31=0),"",IFERROR(L31/K31,0))</f>
      </c>
      <c r="N31" s="1058" t="n">
        <f>'برنامه خرد'!AJ22</f>
        <v>17</v>
      </c>
      <c r="O31" s="1061"/>
      <c r="P31" s="1064" t="str">
        <f>IF(O31="","",IFERROR(O31/N31,0))</f>
      </c>
      <c r="Q31" s="1061"/>
      <c r="R31" s="1061"/>
      <c r="S31" s="1061"/>
      <c r="T31" s="1042"/>
      <c r="U31" s="1042"/>
      <c r="V31" s="1042"/>
      <c r="W31" s="1064" t="str">
        <f>IF(COUNT(J31,M31,P31)=0,"",AVERAGE(J31,M31,P31))</f>
      </c>
      <c r="X31" s="681" t="str">
        <f>IF(I31="","",I31-H31)</f>
      </c>
      <c r="Y31" s="282" t="str">
        <f>IF(I31="","ثبت‌نشده",IF(W31&gt;=0.9,"مطلوب",IF(W31&gt;=0.6,"نسبی","نیازمند جبران")))</f>
        <v>ثبت‌نشده</v>
      </c>
      <c r="Z31" s="1066" t="n">
        <f>'برنامه خرد'!I22</f>
        <v>46257</v>
      </c>
      <c r="AA31" s="61" t="n">
        <f>IF(I31="",0,1)</f>
        <v>0</v>
      </c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1423"/>
      <c r="AZ31" s="1423"/>
      <c r="BA31" s="1423"/>
      <c r="BB31" s="1423"/>
      <c r="BC31" s="1423"/>
      <c r="BD31" s="1423"/>
      <c r="BE31" s="1423"/>
      <c r="BF31" s="1423"/>
      <c r="BG31" s="1423"/>
      <c r="BH31" s="1423"/>
      <c r="BI31" s="1423"/>
      <c r="BJ31" s="1423"/>
      <c r="BK31" s="1423"/>
      <c r="BL31" s="1423"/>
      <c r="BM31" s="1423"/>
    </row>
    <row r="32" ht="48" customHeight="1">
      <c r="A32" s="366" t="str">
        <f>'برنامه خرد'!A23</f>
        <v>۱۴۰۵/۰۶/۰۲</v>
      </c>
      <c r="B32" s="367" t="str">
        <f>'برنامه خرد'!B23</f>
        <v>دوشنبه</v>
      </c>
      <c r="C32" s="680" t="n">
        <f>'برنامه خرد'!K23</f>
        <v>4</v>
      </c>
      <c r="D32" s="367" t="str">
        <f>IF('برنامه خرد'!N23='برنامه خرد'!O23,'برنامه خرد'!N23,'برنامه خرد'!N23&amp;" + "&amp;'برنامه خرد'!O23)</f>
        <v>روان‌شناسی رشد کرین + آسیب‌شناسی روانی</v>
      </c>
      <c r="E32" s="367" t="str">
        <f>'برنامه خرد'!E23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2" s="1054" t="str">
        <f>'برنامه خرد'!G23</f>
        <v>انجام‌نشده</v>
      </c>
      <c r="G32" s="1058" t="n">
        <f>'برنامه خرد'!AB23</f>
        <v>0</v>
      </c>
      <c r="H32" s="1058" t="n">
        <f>'برنامه خرد'!AG23</f>
        <v>240</v>
      </c>
      <c r="I32" s="1061"/>
      <c r="J32" s="1064" t="str">
        <f>IF(I32="","",IFERROR(I32/H32,0))</f>
      </c>
      <c r="K32" s="1058" t="n">
        <f>'برنامه خرد'!AI23</f>
        <v>26</v>
      </c>
      <c r="L32" s="1061"/>
      <c r="M32" s="1064" t="str">
        <f>IF(OR(L32="",K32=0),"",IFERROR(L32/K32,0))</f>
      </c>
      <c r="N32" s="1058" t="n">
        <f>'برنامه خرد'!AJ23</f>
        <v>17</v>
      </c>
      <c r="O32" s="1061"/>
      <c r="P32" s="1064" t="str">
        <f>IF(O32="","",IFERROR(O32/N32,0))</f>
      </c>
      <c r="Q32" s="1061"/>
      <c r="R32" s="1061"/>
      <c r="S32" s="1061"/>
      <c r="T32" s="1042"/>
      <c r="U32" s="1042"/>
      <c r="V32" s="1042"/>
      <c r="W32" s="1064" t="str">
        <f>IF(COUNT(J32,M32,P32)=0,"",AVERAGE(J32,M32,P32))</f>
      </c>
      <c r="X32" s="680" t="str">
        <f>IF(I32="","",I32-H32)</f>
      </c>
      <c r="Y32" s="368" t="str">
        <f>IF(I32="","ثبت‌نشده",IF(W32&gt;=0.9,"مطلوب",IF(W32&gt;=0.6,"نسبی","نیازمند جبران")))</f>
        <v>ثبت‌نشده</v>
      </c>
      <c r="Z32" s="1066" t="n">
        <f>'برنامه خرد'!I23</f>
        <v>46258</v>
      </c>
      <c r="AA32" s="61" t="n">
        <f>IF(I32="",0,1)</f>
        <v>0</v>
      </c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1423"/>
      <c r="AZ32" s="1423"/>
      <c r="BA32" s="1423"/>
      <c r="BB32" s="1423"/>
      <c r="BC32" s="1423"/>
      <c r="BD32" s="1423"/>
      <c r="BE32" s="1423"/>
      <c r="BF32" s="1423"/>
      <c r="BG32" s="1423"/>
      <c r="BH32" s="1423"/>
      <c r="BI32" s="1423"/>
      <c r="BJ32" s="1423"/>
      <c r="BK32" s="1423"/>
      <c r="BL32" s="1423"/>
      <c r="BM32" s="1423"/>
    </row>
    <row r="33" ht="48" customHeight="1">
      <c r="A33" s="280" t="str">
        <f>'برنامه خرد'!A24</f>
        <v>۱۴۰۵/۰۶/۰۳</v>
      </c>
      <c r="B33" s="281" t="str">
        <f>'برنامه خرد'!B24</f>
        <v>سه‌شنبه</v>
      </c>
      <c r="C33" s="681" t="n">
        <f>'برنامه خرد'!K24</f>
        <v>4</v>
      </c>
      <c r="D33" s="281" t="str">
        <f>IF('برنامه خرد'!N24='برنامه خرد'!O24,'برنامه خرد'!N24,'برنامه خرد'!N24&amp;" + "&amp;'برنامه خرد'!O24)</f>
        <v>آسیب‌شناسی روانی + نظریه‌های روان‌درمانی پروچاسکا</v>
      </c>
      <c r="E33" s="281" t="str">
        <f>'برنامه خرد'!E24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3" s="1054" t="str">
        <f>'برنامه خرد'!G24</f>
        <v>انجام‌نشده</v>
      </c>
      <c r="G33" s="1058" t="n">
        <f>'برنامه خرد'!AB24</f>
        <v>0</v>
      </c>
      <c r="H33" s="1058" t="n">
        <f>'برنامه خرد'!AG24</f>
        <v>240</v>
      </c>
      <c r="I33" s="1061"/>
      <c r="J33" s="1064" t="str">
        <f>IF(I33="","",IFERROR(I33/H33,0))</f>
      </c>
      <c r="K33" s="1058" t="n">
        <f>'برنامه خرد'!AI24</f>
        <v>28</v>
      </c>
      <c r="L33" s="1061"/>
      <c r="M33" s="1064" t="str">
        <f>IF(OR(L33="",K33=0),"",IFERROR(L33/K33,0))</f>
      </c>
      <c r="N33" s="1058" t="n">
        <f>'برنامه خرد'!AJ24</f>
        <v>17</v>
      </c>
      <c r="O33" s="1061"/>
      <c r="P33" s="1064" t="str">
        <f>IF(O33="","",IFERROR(O33/N33,0))</f>
      </c>
      <c r="Q33" s="1061"/>
      <c r="R33" s="1061"/>
      <c r="S33" s="1061"/>
      <c r="T33" s="1042"/>
      <c r="U33" s="1042"/>
      <c r="V33" s="1042"/>
      <c r="W33" s="1064" t="str">
        <f>IF(COUNT(J33,M33,P33)=0,"",AVERAGE(J33,M33,P33))</f>
      </c>
      <c r="X33" s="681" t="str">
        <f>IF(I33="","",I33-H33)</f>
      </c>
      <c r="Y33" s="282" t="str">
        <f>IF(I33="","ثبت‌نشده",IF(W33&gt;=0.9,"مطلوب",IF(W33&gt;=0.6,"نسبی","نیازمند جبران")))</f>
        <v>ثبت‌نشده</v>
      </c>
      <c r="Z33" s="1066" t="n">
        <f>'برنامه خرد'!I24</f>
        <v>46259</v>
      </c>
      <c r="AA33" s="61" t="n">
        <f>IF(I33="",0,1)</f>
        <v>0</v>
      </c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1423"/>
      <c r="AZ33" s="1423"/>
      <c r="BA33" s="1423"/>
      <c r="BB33" s="1423"/>
      <c r="BC33" s="1423"/>
      <c r="BD33" s="1423"/>
      <c r="BE33" s="1423"/>
      <c r="BF33" s="1423"/>
      <c r="BG33" s="1423"/>
      <c r="BH33" s="1423"/>
      <c r="BI33" s="1423"/>
      <c r="BJ33" s="1423"/>
      <c r="BK33" s="1423"/>
      <c r="BL33" s="1423"/>
      <c r="BM33" s="1423"/>
    </row>
    <row r="34" ht="48" customHeight="1">
      <c r="A34" s="366" t="str">
        <f>'برنامه خرد'!A25</f>
        <v>۱۴۰۵/۰۶/۰۴</v>
      </c>
      <c r="B34" s="367" t="str">
        <f>'برنامه خرد'!B25</f>
        <v>چهارشنبه</v>
      </c>
      <c r="C34" s="680" t="n">
        <f>'برنامه خرد'!K25</f>
        <v>4</v>
      </c>
      <c r="D34" s="367" t="str">
        <f>IF('برنامه خرد'!N25='برنامه خرد'!O25,'برنامه خرد'!N25,'برنامه خرد'!N25&amp;" + "&amp;'برنامه خرد'!O25)</f>
        <v>روان‌شناسی رشد کرین + نظریه‌های روان‌درمانی پروچاسکا</v>
      </c>
      <c r="E34" s="367" t="str">
        <f>'برنامه خرد'!E25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4" s="1054" t="str">
        <f>'برنامه خرد'!G25</f>
        <v>انجام‌نشده</v>
      </c>
      <c r="G34" s="1058" t="n">
        <f>'برنامه خرد'!AB25</f>
        <v>0</v>
      </c>
      <c r="H34" s="1058" t="n">
        <f>'برنامه خرد'!AG25</f>
        <v>240</v>
      </c>
      <c r="I34" s="1061"/>
      <c r="J34" s="1064" t="str">
        <f>IF(I34="","",IFERROR(I34/H34,0))</f>
      </c>
      <c r="K34" s="1058" t="n">
        <f>'برنامه خرد'!AI25</f>
        <v>28</v>
      </c>
      <c r="L34" s="1061"/>
      <c r="M34" s="1064" t="str">
        <f>IF(OR(L34="",K34=0),"",IFERROR(L34/K34,0))</f>
      </c>
      <c r="N34" s="1058" t="n">
        <f>'برنامه خرد'!AJ25</f>
        <v>17</v>
      </c>
      <c r="O34" s="1061"/>
      <c r="P34" s="1064" t="str">
        <f>IF(O34="","",IFERROR(O34/N34,0))</f>
      </c>
      <c r="Q34" s="1061"/>
      <c r="R34" s="1061"/>
      <c r="S34" s="1061"/>
      <c r="T34" s="1042"/>
      <c r="U34" s="1042"/>
      <c r="V34" s="1042"/>
      <c r="W34" s="1064" t="str">
        <f>IF(COUNT(J34,M34,P34)=0,"",AVERAGE(J34,M34,P34))</f>
      </c>
      <c r="X34" s="680" t="str">
        <f>IF(I34="","",I34-H34)</f>
      </c>
      <c r="Y34" s="368" t="str">
        <f>IF(I34="","ثبت‌نشده",IF(W34&gt;=0.9,"مطلوب",IF(W34&gt;=0.6,"نسبی","نیازمند جبران")))</f>
        <v>ثبت‌نشده</v>
      </c>
      <c r="Z34" s="1066" t="n">
        <f>'برنامه خرد'!I25</f>
        <v>46260</v>
      </c>
      <c r="AA34" s="61" t="n">
        <f>IF(I34="",0,1)</f>
        <v>0</v>
      </c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1423"/>
      <c r="AZ34" s="1423"/>
      <c r="BA34" s="1423"/>
      <c r="BB34" s="1423"/>
      <c r="BC34" s="1423"/>
      <c r="BD34" s="1423"/>
      <c r="BE34" s="1423"/>
      <c r="BF34" s="1423"/>
      <c r="BG34" s="1423"/>
      <c r="BH34" s="1423"/>
      <c r="BI34" s="1423"/>
      <c r="BJ34" s="1423"/>
      <c r="BK34" s="1423"/>
      <c r="BL34" s="1423"/>
      <c r="BM34" s="1423"/>
    </row>
    <row r="35" ht="48" customHeight="1">
      <c r="A35" s="280" t="str">
        <f>'برنامه خرد'!A26</f>
        <v>۱۴۰۵/۰۶/۰۵</v>
      </c>
      <c r="B35" s="281" t="str">
        <f>'برنامه خرد'!B26</f>
        <v>پنجشنبه</v>
      </c>
      <c r="C35" s="681" t="n">
        <f>'برنامه خرد'!K26</f>
        <v>4</v>
      </c>
      <c r="D35" s="281" t="str">
        <f>IF('برنامه خرد'!N26='برنامه خرد'!O26,'برنامه خرد'!N26,'برنامه خرد'!N26&amp;" + "&amp;'برنامه خرد'!O26)</f>
        <v>آسیب‌شناسی روانی + نظریه‌های روان‌درمانی پروچاسکا</v>
      </c>
      <c r="E35" s="281" t="str">
        <f>'برنامه خرد'!E26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5" s="1054" t="str">
        <f>'برنامه خرد'!G26</f>
        <v>انجام‌نشده</v>
      </c>
      <c r="G35" s="1058" t="n">
        <f>'برنامه خرد'!AB26</f>
        <v>0</v>
      </c>
      <c r="H35" s="1058" t="n">
        <f>'برنامه خرد'!AG26</f>
        <v>240</v>
      </c>
      <c r="I35" s="1061"/>
      <c r="J35" s="1064" t="str">
        <f>IF(I35="","",IFERROR(I35/H35,0))</f>
      </c>
      <c r="K35" s="1058" t="n">
        <f>'برنامه خرد'!AI26</f>
        <v>28</v>
      </c>
      <c r="L35" s="1061"/>
      <c r="M35" s="1064" t="str">
        <f>IF(OR(L35="",K35=0),"",IFERROR(L35/K35,0))</f>
      </c>
      <c r="N35" s="1058" t="n">
        <f>'برنامه خرد'!AJ26</f>
        <v>17</v>
      </c>
      <c r="O35" s="1061"/>
      <c r="P35" s="1064" t="str">
        <f>IF(O35="","",IFERROR(O35/N35,0))</f>
      </c>
      <c r="Q35" s="1061"/>
      <c r="R35" s="1061"/>
      <c r="S35" s="1061"/>
      <c r="T35" s="1042"/>
      <c r="U35" s="1042"/>
      <c r="V35" s="1042"/>
      <c r="W35" s="1064" t="str">
        <f>IF(COUNT(J35,M35,P35)=0,"",AVERAGE(J35,M35,P35))</f>
      </c>
      <c r="X35" s="681" t="str">
        <f>IF(I35="","",I35-H35)</f>
      </c>
      <c r="Y35" s="282" t="str">
        <f>IF(I35="","ثبت‌نشده",IF(W35&gt;=0.9,"مطلوب",IF(W35&gt;=0.6,"نسبی","نیازمند جبران")))</f>
        <v>ثبت‌نشده</v>
      </c>
      <c r="Z35" s="1066" t="n">
        <f>'برنامه خرد'!I26</f>
        <v>46261</v>
      </c>
      <c r="AA35" s="61" t="n">
        <f>IF(I35="",0,1)</f>
        <v>0</v>
      </c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1423"/>
      <c r="AZ35" s="1423"/>
      <c r="BA35" s="1423"/>
      <c r="BB35" s="1423"/>
      <c r="BC35" s="1423"/>
      <c r="BD35" s="1423"/>
      <c r="BE35" s="1423"/>
      <c r="BF35" s="1423"/>
      <c r="BG35" s="1423"/>
      <c r="BH35" s="1423"/>
      <c r="BI35" s="1423"/>
      <c r="BJ35" s="1423"/>
      <c r="BK35" s="1423"/>
      <c r="BL35" s="1423"/>
      <c r="BM35" s="1423"/>
    </row>
    <row r="36" ht="48" customHeight="1">
      <c r="A36" s="366" t="str">
        <f>'برنامه خرد'!A27</f>
        <v>۱۴۰۵/۰۶/۰۶</v>
      </c>
      <c r="B36" s="367" t="str">
        <f>'برنامه خرد'!B27</f>
        <v>جمعه</v>
      </c>
      <c r="C36" s="680" t="n">
        <f>'برنامه خرد'!K27</f>
        <v>4</v>
      </c>
      <c r="D36" s="367" t="str">
        <f>IF('برنامه خرد'!N27='برنامه خرد'!O27,'برنامه خرد'!N27,'برنامه خرد'!N27&amp;" + "&amp;'برنامه خرد'!O27)</f>
        <v>نظریه‌های روان‌درمانی پروچاسکا</v>
      </c>
      <c r="E36" s="367" t="str">
        <f>'برنامه خرد'!E27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36" s="1054" t="str">
        <f>'برنامه خرد'!G27</f>
        <v>انجام‌نشده</v>
      </c>
      <c r="G36" s="1058" t="n">
        <f>'برنامه خرد'!AB27</f>
        <v>0</v>
      </c>
      <c r="H36" s="1058" t="n">
        <f>'برنامه خرد'!AG27</f>
        <v>240</v>
      </c>
      <c r="I36" s="1061"/>
      <c r="J36" s="1064" t="str">
        <f>IF(I36="","",IFERROR(I36/H36,0))</f>
      </c>
      <c r="K36" s="1058" t="n">
        <f>'برنامه خرد'!AI27</f>
        <v>28</v>
      </c>
      <c r="L36" s="1061"/>
      <c r="M36" s="1064" t="str">
        <f>IF(OR(L36="",K36=0),"",IFERROR(L36/K36,0))</f>
      </c>
      <c r="N36" s="1058" t="n">
        <f>'برنامه خرد'!AJ27</f>
        <v>17</v>
      </c>
      <c r="O36" s="1061"/>
      <c r="P36" s="1064" t="str">
        <f>IF(O36="","",IFERROR(O36/N36,0))</f>
      </c>
      <c r="Q36" s="1061"/>
      <c r="R36" s="1061"/>
      <c r="S36" s="1061"/>
      <c r="T36" s="1042"/>
      <c r="U36" s="1042"/>
      <c r="V36" s="1042"/>
      <c r="W36" s="1064" t="str">
        <f>IF(COUNT(J36,M36,P36)=0,"",AVERAGE(J36,M36,P36))</f>
      </c>
      <c r="X36" s="680" t="str">
        <f>IF(I36="","",I36-H36)</f>
      </c>
      <c r="Y36" s="368" t="str">
        <f>IF(I36="","ثبت‌نشده",IF(W36&gt;=0.9,"مطلوب",IF(W36&gt;=0.6,"نسبی","نیازمند جبران")))</f>
        <v>ثبت‌نشده</v>
      </c>
      <c r="Z36" s="1066" t="n">
        <f>'برنامه خرد'!I27</f>
        <v>46262</v>
      </c>
      <c r="AA36" s="61" t="n">
        <f>IF(I36="",0,1)</f>
        <v>0</v>
      </c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1423"/>
      <c r="AZ36" s="1423"/>
      <c r="BA36" s="1423"/>
      <c r="BB36" s="1423"/>
      <c r="BC36" s="1423"/>
      <c r="BD36" s="1423"/>
      <c r="BE36" s="1423"/>
      <c r="BF36" s="1423"/>
      <c r="BG36" s="1423"/>
      <c r="BH36" s="1423"/>
      <c r="BI36" s="1423"/>
      <c r="BJ36" s="1423"/>
      <c r="BK36" s="1423"/>
      <c r="BL36" s="1423"/>
      <c r="BM36" s="1423"/>
    </row>
    <row r="37" ht="48" customHeight="1">
      <c r="A37" s="280" t="str">
        <f>'برنامه خرد'!A28</f>
        <v>۱۴۰۵/۰۶/۰۷</v>
      </c>
      <c r="B37" s="281" t="str">
        <f>'برنامه خرد'!B28</f>
        <v>شنبه</v>
      </c>
      <c r="C37" s="681" t="n">
        <f>'برنامه خرد'!K28</f>
        <v>5</v>
      </c>
      <c r="D37" s="281" t="str">
        <f>IF('برنامه خرد'!N28='برنامه خرد'!O28,'برنامه خرد'!N28,'برنامه خرد'!N28&amp;" + "&amp;'برنامه خرد'!O28)</f>
        <v>روان‌شناسی رشد کرین + آسیب‌شناسی روانی</v>
      </c>
      <c r="E37" s="281" t="str">
        <f>'برنامه خرد'!E28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7" s="1054" t="str">
        <f>'برنامه خرد'!G28</f>
        <v>انجام‌نشده</v>
      </c>
      <c r="G37" s="1058" t="n">
        <f>'برنامه خرد'!AB28</f>
        <v>0</v>
      </c>
      <c r="H37" s="1058" t="n">
        <f>'برنامه خرد'!AG28</f>
        <v>240</v>
      </c>
      <c r="I37" s="1061"/>
      <c r="J37" s="1064" t="str">
        <f>IF(I37="","",IFERROR(I37/H37,0))</f>
      </c>
      <c r="K37" s="1058" t="n">
        <f>'برنامه خرد'!AI28</f>
        <v>26</v>
      </c>
      <c r="L37" s="1061"/>
      <c r="M37" s="1064" t="str">
        <f>IF(OR(L37="",K37=0),"",IFERROR(L37/K37,0))</f>
      </c>
      <c r="N37" s="1058" t="n">
        <f>'برنامه خرد'!AJ28</f>
        <v>17</v>
      </c>
      <c r="O37" s="1061"/>
      <c r="P37" s="1064" t="str">
        <f>IF(O37="","",IFERROR(O37/N37,0))</f>
      </c>
      <c r="Q37" s="1061"/>
      <c r="R37" s="1061"/>
      <c r="S37" s="1061"/>
      <c r="T37" s="1042"/>
      <c r="U37" s="1042"/>
      <c r="V37" s="1042"/>
      <c r="W37" s="1064" t="str">
        <f>IF(COUNT(J37,M37,P37)=0,"",AVERAGE(J37,M37,P37))</f>
      </c>
      <c r="X37" s="681" t="str">
        <f>IF(I37="","",I37-H37)</f>
      </c>
      <c r="Y37" s="282" t="str">
        <f>IF(I37="","ثبت‌نشده",IF(W37&gt;=0.9,"مطلوب",IF(W37&gt;=0.6,"نسبی","نیازمند جبران")))</f>
        <v>ثبت‌نشده</v>
      </c>
      <c r="Z37" s="1066" t="n">
        <f>'برنامه خرد'!I28</f>
        <v>46263</v>
      </c>
      <c r="AA37" s="61" t="n">
        <f>IF(I37="",0,1)</f>
        <v>0</v>
      </c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1423"/>
      <c r="AZ37" s="1423"/>
      <c r="BA37" s="1423"/>
      <c r="BB37" s="1423"/>
      <c r="BC37" s="1423"/>
      <c r="BD37" s="1423"/>
      <c r="BE37" s="1423"/>
      <c r="BF37" s="1423"/>
      <c r="BG37" s="1423"/>
      <c r="BH37" s="1423"/>
      <c r="BI37" s="1423"/>
      <c r="BJ37" s="1423"/>
      <c r="BK37" s="1423"/>
      <c r="BL37" s="1423"/>
      <c r="BM37" s="1423"/>
    </row>
    <row r="38" ht="48" customHeight="1">
      <c r="A38" s="366" t="str">
        <f>'برنامه خرد'!A29</f>
        <v>۱۴۰۵/۰۶/۰۸</v>
      </c>
      <c r="B38" s="367" t="str">
        <f>'برنامه خرد'!B29</f>
        <v>یکشنبه</v>
      </c>
      <c r="C38" s="680" t="n">
        <f>'برنامه خرد'!K29</f>
        <v>5</v>
      </c>
      <c r="D38" s="367" t="str">
        <f>IF('برنامه خرد'!N29='برنامه خرد'!O29,'برنامه خرد'!N29,'برنامه خرد'!N29&amp;" + "&amp;'برنامه خرد'!O29)</f>
        <v>نظریه‌های روان‌درمانی پروچاسکا + آسیب‌شناسی روانی</v>
      </c>
      <c r="E38" s="367" t="str">
        <f>'برنامه خرد'!E29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8" s="1054" t="str">
        <f>'برنامه خرد'!G29</f>
        <v>انجام‌نشده</v>
      </c>
      <c r="G38" s="1058" t="n">
        <f>'برنامه خرد'!AB29</f>
        <v>0</v>
      </c>
      <c r="H38" s="1058" t="n">
        <f>'برنامه خرد'!AG29</f>
        <v>240</v>
      </c>
      <c r="I38" s="1061"/>
      <c r="J38" s="1064" t="str">
        <f>IF(I38="","",IFERROR(I38/H38,0))</f>
      </c>
      <c r="K38" s="1058" t="n">
        <f>'برنامه خرد'!AI29</f>
        <v>34</v>
      </c>
      <c r="L38" s="1061"/>
      <c r="M38" s="1064" t="str">
        <f>IF(OR(L38="",K38=0),"",IFERROR(L38/K38,0))</f>
      </c>
      <c r="N38" s="1058" t="n">
        <f>'برنامه خرد'!AJ29</f>
        <v>17</v>
      </c>
      <c r="O38" s="1061"/>
      <c r="P38" s="1064" t="str">
        <f>IF(O38="","",IFERROR(O38/N38,0))</f>
      </c>
      <c r="Q38" s="1061"/>
      <c r="R38" s="1061"/>
      <c r="S38" s="1061"/>
      <c r="T38" s="1042"/>
      <c r="U38" s="1042"/>
      <c r="V38" s="1042"/>
      <c r="W38" s="1064" t="str">
        <f>IF(COUNT(J38,M38,P38)=0,"",AVERAGE(J38,M38,P38))</f>
      </c>
      <c r="X38" s="680" t="str">
        <f>IF(I38="","",I38-H38)</f>
      </c>
      <c r="Y38" s="368" t="str">
        <f>IF(I38="","ثبت‌نشده",IF(W38&gt;=0.9,"مطلوب",IF(W38&gt;=0.6,"نسبی","نیازمند جبران")))</f>
        <v>ثبت‌نشده</v>
      </c>
      <c r="Z38" s="1066" t="n">
        <f>'برنامه خرد'!I29</f>
        <v>46264</v>
      </c>
      <c r="AA38" s="61" t="n">
        <f>IF(I38="",0,1)</f>
        <v>0</v>
      </c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1423"/>
      <c r="AZ38" s="1423"/>
      <c r="BA38" s="1423"/>
      <c r="BB38" s="1423"/>
      <c r="BC38" s="1423"/>
      <c r="BD38" s="1423"/>
      <c r="BE38" s="1423"/>
      <c r="BF38" s="1423"/>
      <c r="BG38" s="1423"/>
      <c r="BH38" s="1423"/>
      <c r="BI38" s="1423"/>
      <c r="BJ38" s="1423"/>
      <c r="BK38" s="1423"/>
      <c r="BL38" s="1423"/>
      <c r="BM38" s="1423"/>
    </row>
    <row r="39" ht="48" customHeight="1">
      <c r="A39" s="280" t="str">
        <f>'برنامه خرد'!A30</f>
        <v>۱۴۰۵/۰۶/۰۹</v>
      </c>
      <c r="B39" s="281" t="str">
        <f>'برنامه خرد'!B30</f>
        <v>دوشنبه</v>
      </c>
      <c r="C39" s="681" t="n">
        <f>'برنامه خرد'!K30</f>
        <v>5</v>
      </c>
      <c r="D39" s="281" t="str">
        <f>IF('برنامه خرد'!N30='برنامه خرد'!O30,'برنامه خرد'!N30,'برنامه خرد'!N30&amp;" + "&amp;'برنامه خرد'!O30)</f>
        <v>روان‌شناسی رشد کرین + آسیب‌شناسی روانی</v>
      </c>
      <c r="E39" s="281" t="str">
        <f>'برنامه خرد'!E30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39" s="1054" t="str">
        <f>'برنامه خرد'!G30</f>
        <v>انجام‌نشده</v>
      </c>
      <c r="G39" s="1058" t="n">
        <f>'برنامه خرد'!AB30</f>
        <v>0</v>
      </c>
      <c r="H39" s="1058" t="n">
        <f>'برنامه خرد'!AG30</f>
        <v>240</v>
      </c>
      <c r="I39" s="1061"/>
      <c r="J39" s="1064" t="str">
        <f>IF(I39="","",IFERROR(I39/H39,0))</f>
      </c>
      <c r="K39" s="1058" t="n">
        <f>'برنامه خرد'!AI30</f>
        <v>26</v>
      </c>
      <c r="L39" s="1061"/>
      <c r="M39" s="1064" t="str">
        <f>IF(OR(L39="",K39=0),"",IFERROR(L39/K39,0))</f>
      </c>
      <c r="N39" s="1058" t="n">
        <f>'برنامه خرد'!AJ30</f>
        <v>17</v>
      </c>
      <c r="O39" s="1061"/>
      <c r="P39" s="1064" t="str">
        <f>IF(O39="","",IFERROR(O39/N39,0))</f>
      </c>
      <c r="Q39" s="1061"/>
      <c r="R39" s="1061"/>
      <c r="S39" s="1061"/>
      <c r="T39" s="1042"/>
      <c r="U39" s="1042"/>
      <c r="V39" s="1042"/>
      <c r="W39" s="1064" t="str">
        <f>IF(COUNT(J39,M39,P39)=0,"",AVERAGE(J39,M39,P39))</f>
      </c>
      <c r="X39" s="681" t="str">
        <f>IF(I39="","",I39-H39)</f>
      </c>
      <c r="Y39" s="282" t="str">
        <f>IF(I39="","ثبت‌نشده",IF(W39&gt;=0.9,"مطلوب",IF(W39&gt;=0.6,"نسبی","نیازمند جبران")))</f>
        <v>ثبت‌نشده</v>
      </c>
      <c r="Z39" s="1066" t="n">
        <f>'برنامه خرد'!I30</f>
        <v>46265</v>
      </c>
      <c r="AA39" s="61" t="n">
        <f>IF(I39="",0,1)</f>
        <v>0</v>
      </c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1423"/>
      <c r="AZ39" s="1423"/>
      <c r="BA39" s="1423"/>
      <c r="BB39" s="1423"/>
      <c r="BC39" s="1423"/>
      <c r="BD39" s="1423"/>
      <c r="BE39" s="1423"/>
      <c r="BF39" s="1423"/>
      <c r="BG39" s="1423"/>
      <c r="BH39" s="1423"/>
      <c r="BI39" s="1423"/>
      <c r="BJ39" s="1423"/>
      <c r="BK39" s="1423"/>
      <c r="BL39" s="1423"/>
      <c r="BM39" s="1423"/>
    </row>
    <row r="40" ht="48" customHeight="1">
      <c r="A40" s="366" t="str">
        <f>'برنامه خرد'!A31</f>
        <v>۱۴۰۵/۰۶/۱۰</v>
      </c>
      <c r="B40" s="367" t="str">
        <f>'برنامه خرد'!B31</f>
        <v>سه‌شنبه</v>
      </c>
      <c r="C40" s="680" t="n">
        <f>'برنامه خرد'!K31</f>
        <v>5</v>
      </c>
      <c r="D40" s="367" t="str">
        <f>IF('برنامه خرد'!N31='برنامه خرد'!O31,'برنامه خرد'!N31,'برنامه خرد'!N31&amp;" + "&amp;'برنامه خرد'!O31)</f>
        <v>آسیب‌شناسی روانی + نظریه‌های روان‌درمانی پروچاسکا</v>
      </c>
      <c r="E40" s="367" t="str">
        <f>'برنامه خرد'!E31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0" s="1054" t="str">
        <f>'برنامه خرد'!G31</f>
        <v>انجام‌نشده</v>
      </c>
      <c r="G40" s="1058" t="n">
        <f>'برنامه خرد'!AB31</f>
        <v>0</v>
      </c>
      <c r="H40" s="1058" t="n">
        <f>'برنامه خرد'!AG31</f>
        <v>240</v>
      </c>
      <c r="I40" s="1061"/>
      <c r="J40" s="1064" t="str">
        <f>IF(I40="","",IFERROR(I40/H40,0))</f>
      </c>
      <c r="K40" s="1058" t="n">
        <f>'برنامه خرد'!AI31</f>
        <v>28</v>
      </c>
      <c r="L40" s="1061"/>
      <c r="M40" s="1064" t="str">
        <f>IF(OR(L40="",K40=0),"",IFERROR(L40/K40,0))</f>
      </c>
      <c r="N40" s="1058" t="n">
        <f>'برنامه خرد'!AJ31</f>
        <v>17</v>
      </c>
      <c r="O40" s="1061"/>
      <c r="P40" s="1064" t="str">
        <f>IF(O40="","",IFERROR(O40/N40,0))</f>
      </c>
      <c r="Q40" s="1061"/>
      <c r="R40" s="1061"/>
      <c r="S40" s="1061"/>
      <c r="T40" s="1042"/>
      <c r="U40" s="1042"/>
      <c r="V40" s="1042"/>
      <c r="W40" s="1064" t="str">
        <f>IF(COUNT(J40,M40,P40)=0,"",AVERAGE(J40,M40,P40))</f>
      </c>
      <c r="X40" s="680" t="str">
        <f>IF(I40="","",I40-H40)</f>
      </c>
      <c r="Y40" s="368" t="str">
        <f>IF(I40="","ثبت‌نشده",IF(W40&gt;=0.9,"مطلوب",IF(W40&gt;=0.6,"نسبی","نیازمند جبران")))</f>
        <v>ثبت‌نشده</v>
      </c>
      <c r="Z40" s="1066" t="n">
        <f>'برنامه خرد'!I31</f>
        <v>46266</v>
      </c>
      <c r="AA40" s="61" t="n">
        <f>IF(I40="",0,1)</f>
        <v>0</v>
      </c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1423"/>
      <c r="AZ40" s="1423"/>
      <c r="BA40" s="1423"/>
      <c r="BB40" s="1423"/>
      <c r="BC40" s="1423"/>
      <c r="BD40" s="1423"/>
      <c r="BE40" s="1423"/>
      <c r="BF40" s="1423"/>
      <c r="BG40" s="1423"/>
      <c r="BH40" s="1423"/>
      <c r="BI40" s="1423"/>
      <c r="BJ40" s="1423"/>
      <c r="BK40" s="1423"/>
      <c r="BL40" s="1423"/>
      <c r="BM40" s="1423"/>
    </row>
    <row r="41" ht="48" customHeight="1">
      <c r="A41" s="280" t="str">
        <f>'برنامه خرد'!A32</f>
        <v>۱۴۰۵/۰۶/۱۱</v>
      </c>
      <c r="B41" s="281" t="str">
        <f>'برنامه خرد'!B32</f>
        <v>چهارشنبه</v>
      </c>
      <c r="C41" s="681" t="n">
        <f>'برنامه خرد'!K32</f>
        <v>5</v>
      </c>
      <c r="D41" s="281" t="str">
        <f>IF('برنامه خرد'!N32='برنامه خرد'!O32,'برنامه خرد'!N32,'برنامه خرد'!N32&amp;" + "&amp;'برنامه خرد'!O32)</f>
        <v>روان‌شناسی رشد کرین + نظریه‌های روان‌درمانی پروچاسکا</v>
      </c>
      <c r="E41" s="281" t="str">
        <f>'برنامه خرد'!E32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1" s="1054" t="str">
        <f>'برنامه خرد'!G32</f>
        <v>انجام‌نشده</v>
      </c>
      <c r="G41" s="1058" t="n">
        <f>'برنامه خرد'!AB32</f>
        <v>0</v>
      </c>
      <c r="H41" s="1058" t="n">
        <f>'برنامه خرد'!AG32</f>
        <v>240</v>
      </c>
      <c r="I41" s="1061"/>
      <c r="J41" s="1064" t="str">
        <f>IF(I41="","",IFERROR(I41/H41,0))</f>
      </c>
      <c r="K41" s="1058" t="n">
        <f>'برنامه خرد'!AI32</f>
        <v>28</v>
      </c>
      <c r="L41" s="1061"/>
      <c r="M41" s="1064" t="str">
        <f>IF(OR(L41="",K41=0),"",IFERROR(L41/K41,0))</f>
      </c>
      <c r="N41" s="1058" t="n">
        <f>'برنامه خرد'!AJ32</f>
        <v>17</v>
      </c>
      <c r="O41" s="1061"/>
      <c r="P41" s="1064" t="str">
        <f>IF(O41="","",IFERROR(O41/N41,0))</f>
      </c>
      <c r="Q41" s="1061"/>
      <c r="R41" s="1061"/>
      <c r="S41" s="1061"/>
      <c r="T41" s="1042"/>
      <c r="U41" s="1042"/>
      <c r="V41" s="1042"/>
      <c r="W41" s="1064" t="str">
        <f>IF(COUNT(J41,M41,P41)=0,"",AVERAGE(J41,M41,P41))</f>
      </c>
      <c r="X41" s="681" t="str">
        <f>IF(I41="","",I41-H41)</f>
      </c>
      <c r="Y41" s="282" t="str">
        <f>IF(I41="","ثبت‌نشده",IF(W41&gt;=0.9,"مطلوب",IF(W41&gt;=0.6,"نسبی","نیازمند جبران")))</f>
        <v>ثبت‌نشده</v>
      </c>
      <c r="Z41" s="1066" t="n">
        <f>'برنامه خرد'!I32</f>
        <v>46267</v>
      </c>
      <c r="AA41" s="61" t="n">
        <f>IF(I41="",0,1)</f>
        <v>0</v>
      </c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1423"/>
      <c r="AZ41" s="1423"/>
      <c r="BA41" s="1423"/>
      <c r="BB41" s="1423"/>
      <c r="BC41" s="1423"/>
      <c r="BD41" s="1423"/>
      <c r="BE41" s="1423"/>
      <c r="BF41" s="1423"/>
      <c r="BG41" s="1423"/>
      <c r="BH41" s="1423"/>
      <c r="BI41" s="1423"/>
      <c r="BJ41" s="1423"/>
      <c r="BK41" s="1423"/>
      <c r="BL41" s="1423"/>
      <c r="BM41" s="1423"/>
    </row>
    <row r="42" ht="48" customHeight="1">
      <c r="A42" s="366" t="str">
        <f>'برنامه خرد'!A33</f>
        <v>۱۴۰۵/۰۶/۱۲</v>
      </c>
      <c r="B42" s="367" t="str">
        <f>'برنامه خرد'!B33</f>
        <v>پنجشنبه</v>
      </c>
      <c r="C42" s="680" t="n">
        <f>'برنامه خرد'!K33</f>
        <v>5</v>
      </c>
      <c r="D42" s="367" t="str">
        <f>IF('برنامه خرد'!N33='برنامه خرد'!O33,'برنامه خرد'!N33,'برنامه خرد'!N33&amp;" + "&amp;'برنامه خرد'!O33)</f>
        <v>آسیب‌شناسی روانی + نظریه‌های روان‌درمانی پروچاسکا</v>
      </c>
      <c r="E42" s="367" t="str">
        <f>'برنامه خرد'!E33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2" s="1054" t="str">
        <f>'برنامه خرد'!G33</f>
        <v>انجام‌نشده</v>
      </c>
      <c r="G42" s="1058" t="n">
        <f>'برنامه خرد'!AB33</f>
        <v>0</v>
      </c>
      <c r="H42" s="1058" t="n">
        <f>'برنامه خرد'!AG33</f>
        <v>240</v>
      </c>
      <c r="I42" s="1061"/>
      <c r="J42" s="1064" t="str">
        <f>IF(I42="","",IFERROR(I42/H42,0))</f>
      </c>
      <c r="K42" s="1058" t="n">
        <f>'برنامه خرد'!AI33</f>
        <v>28</v>
      </c>
      <c r="L42" s="1061"/>
      <c r="M42" s="1064" t="str">
        <f>IF(OR(L42="",K42=0),"",IFERROR(L42/K42,0))</f>
      </c>
      <c r="N42" s="1058" t="n">
        <f>'برنامه خرد'!AJ33</f>
        <v>17</v>
      </c>
      <c r="O42" s="1061"/>
      <c r="P42" s="1064" t="str">
        <f>IF(O42="","",IFERROR(O42/N42,0))</f>
      </c>
      <c r="Q42" s="1061"/>
      <c r="R42" s="1061"/>
      <c r="S42" s="1061"/>
      <c r="T42" s="1042"/>
      <c r="U42" s="1042"/>
      <c r="V42" s="1042"/>
      <c r="W42" s="1064" t="str">
        <f>IF(COUNT(J42,M42,P42)=0,"",AVERAGE(J42,M42,P42))</f>
      </c>
      <c r="X42" s="680" t="str">
        <f>IF(I42="","",I42-H42)</f>
      </c>
      <c r="Y42" s="368" t="str">
        <f>IF(I42="","ثبت‌نشده",IF(W42&gt;=0.9,"مطلوب",IF(W42&gt;=0.6,"نسبی","نیازمند جبران")))</f>
        <v>ثبت‌نشده</v>
      </c>
      <c r="Z42" s="1066" t="n">
        <f>'برنامه خرد'!I33</f>
        <v>46268</v>
      </c>
      <c r="AA42" s="61" t="n">
        <f>IF(I42="",0,1)</f>
        <v>0</v>
      </c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1423"/>
      <c r="AZ42" s="1423"/>
      <c r="BA42" s="1423"/>
      <c r="BB42" s="1423"/>
      <c r="BC42" s="1423"/>
      <c r="BD42" s="1423"/>
      <c r="BE42" s="1423"/>
      <c r="BF42" s="1423"/>
      <c r="BG42" s="1423"/>
      <c r="BH42" s="1423"/>
      <c r="BI42" s="1423"/>
      <c r="BJ42" s="1423"/>
      <c r="BK42" s="1423"/>
      <c r="BL42" s="1423"/>
      <c r="BM42" s="1423"/>
    </row>
    <row r="43" ht="48" customHeight="1">
      <c r="A43" s="280" t="str">
        <f>'برنامه خرد'!A34</f>
        <v>۱۴۰۵/۰۶/۱۳</v>
      </c>
      <c r="B43" s="281" t="str">
        <f>'برنامه خرد'!B34</f>
        <v>جمعه</v>
      </c>
      <c r="C43" s="681" t="n">
        <f>'برنامه خرد'!K34</f>
        <v>5</v>
      </c>
      <c r="D43" s="281" t="str">
        <f>IF('برنامه خرد'!N34='برنامه خرد'!O34,'برنامه خرد'!N34,'برنامه خرد'!N34&amp;" + "&amp;'برنامه خرد'!O34)</f>
        <v>نظریه‌های روان‌درمانی پروچاسکا</v>
      </c>
      <c r="E43" s="281" t="str">
        <f>'برنامه خرد'!E34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43" s="1054" t="str">
        <f>'برنامه خرد'!G34</f>
        <v>انجام‌نشده</v>
      </c>
      <c r="G43" s="1058" t="n">
        <f>'برنامه خرد'!AB34</f>
        <v>0</v>
      </c>
      <c r="H43" s="1058" t="n">
        <f>'برنامه خرد'!AG34</f>
        <v>240</v>
      </c>
      <c r="I43" s="1061"/>
      <c r="J43" s="1064" t="str">
        <f>IF(I43="","",IFERROR(I43/H43,0))</f>
      </c>
      <c r="K43" s="1058" t="n">
        <f>'برنامه خرد'!AI34</f>
        <v>28</v>
      </c>
      <c r="L43" s="1061"/>
      <c r="M43" s="1064" t="str">
        <f>IF(OR(L43="",K43=0),"",IFERROR(L43/K43,0))</f>
      </c>
      <c r="N43" s="1058" t="n">
        <f>'برنامه خرد'!AJ34</f>
        <v>17</v>
      </c>
      <c r="O43" s="1061"/>
      <c r="P43" s="1064" t="str">
        <f>IF(O43="","",IFERROR(O43/N43,0))</f>
      </c>
      <c r="Q43" s="1061"/>
      <c r="R43" s="1061"/>
      <c r="S43" s="1061"/>
      <c r="T43" s="1042"/>
      <c r="U43" s="1042"/>
      <c r="V43" s="1042"/>
      <c r="W43" s="1064" t="str">
        <f>IF(COUNT(J43,M43,P43)=0,"",AVERAGE(J43,M43,P43))</f>
      </c>
      <c r="X43" s="681" t="str">
        <f>IF(I43="","",I43-H43)</f>
      </c>
      <c r="Y43" s="282" t="str">
        <f>IF(I43="","ثبت‌نشده",IF(W43&gt;=0.9,"مطلوب",IF(W43&gt;=0.6,"نسبی","نیازمند جبران")))</f>
        <v>ثبت‌نشده</v>
      </c>
      <c r="Z43" s="1066" t="n">
        <f>'برنامه خرد'!I34</f>
        <v>46269</v>
      </c>
      <c r="AA43" s="61" t="n">
        <f>IF(I43="",0,1)</f>
        <v>0</v>
      </c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1423"/>
      <c r="AZ43" s="1423"/>
      <c r="BA43" s="1423"/>
      <c r="BB43" s="1423"/>
      <c r="BC43" s="1423"/>
      <c r="BD43" s="1423"/>
      <c r="BE43" s="1423"/>
      <c r="BF43" s="1423"/>
      <c r="BG43" s="1423"/>
      <c r="BH43" s="1423"/>
      <c r="BI43" s="1423"/>
      <c r="BJ43" s="1423"/>
      <c r="BK43" s="1423"/>
      <c r="BL43" s="1423"/>
      <c r="BM43" s="1423"/>
    </row>
    <row r="44" ht="48" customHeight="1">
      <c r="A44" s="366" t="str">
        <f>'برنامه خرد'!A35</f>
        <v>۱۴۰۵/۰۶/۱۴</v>
      </c>
      <c r="B44" s="367" t="str">
        <f>'برنامه خرد'!B35</f>
        <v>شنبه</v>
      </c>
      <c r="C44" s="680" t="n">
        <f>'برنامه خرد'!K35</f>
        <v>6</v>
      </c>
      <c r="D44" s="367" t="str">
        <f>IF('برنامه خرد'!N35='برنامه خرد'!O35,'برنامه خرد'!N35,'برنامه خرد'!N35&amp;" + "&amp;'برنامه خرد'!O35)</f>
        <v>روان‌شناسی رشد کرین + آسیب‌شناسی روانی</v>
      </c>
      <c r="E44" s="367" t="str">
        <f>'برنامه خرد'!E35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4" s="1054" t="str">
        <f>'برنامه خرد'!G35</f>
        <v>انجام‌نشده</v>
      </c>
      <c r="G44" s="1058" t="n">
        <f>'برنامه خرد'!AB35</f>
        <v>0</v>
      </c>
      <c r="H44" s="1058" t="n">
        <f>'برنامه خرد'!AG35</f>
        <v>240</v>
      </c>
      <c r="I44" s="1061"/>
      <c r="J44" s="1064" t="str">
        <f>IF(I44="","",IFERROR(I44/H44,0))</f>
      </c>
      <c r="K44" s="1058" t="n">
        <f>'برنامه خرد'!AI35</f>
        <v>26</v>
      </c>
      <c r="L44" s="1061"/>
      <c r="M44" s="1064" t="str">
        <f>IF(OR(L44="",K44=0),"",IFERROR(L44/K44,0))</f>
      </c>
      <c r="N44" s="1058" t="n">
        <f>'برنامه خرد'!AJ35</f>
        <v>17</v>
      </c>
      <c r="O44" s="1061"/>
      <c r="P44" s="1064" t="str">
        <f>IF(O44="","",IFERROR(O44/N44,0))</f>
      </c>
      <c r="Q44" s="1061"/>
      <c r="R44" s="1061"/>
      <c r="S44" s="1061"/>
      <c r="T44" s="1042"/>
      <c r="U44" s="1042"/>
      <c r="V44" s="1042"/>
      <c r="W44" s="1064" t="str">
        <f>IF(COUNT(J44,M44,P44)=0,"",AVERAGE(J44,M44,P44))</f>
      </c>
      <c r="X44" s="680" t="str">
        <f>IF(I44="","",I44-H44)</f>
      </c>
      <c r="Y44" s="368" t="str">
        <f>IF(I44="","ثبت‌نشده",IF(W44&gt;=0.9,"مطلوب",IF(W44&gt;=0.6,"نسبی","نیازمند جبران")))</f>
        <v>ثبت‌نشده</v>
      </c>
      <c r="Z44" s="1066" t="n">
        <f>'برنامه خرد'!I35</f>
        <v>46270</v>
      </c>
      <c r="AA44" s="61" t="n">
        <f>IF(I44="",0,1)</f>
        <v>0</v>
      </c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1423"/>
      <c r="AZ44" s="1423"/>
      <c r="BA44" s="1423"/>
      <c r="BB44" s="1423"/>
      <c r="BC44" s="1423"/>
      <c r="BD44" s="1423"/>
      <c r="BE44" s="1423"/>
      <c r="BF44" s="1423"/>
      <c r="BG44" s="1423"/>
      <c r="BH44" s="1423"/>
      <c r="BI44" s="1423"/>
      <c r="BJ44" s="1423"/>
      <c r="BK44" s="1423"/>
      <c r="BL44" s="1423"/>
      <c r="BM44" s="1423"/>
    </row>
    <row r="45" ht="48" customHeight="1">
      <c r="A45" s="280" t="str">
        <f>'برنامه خرد'!A36</f>
        <v>۱۴۰۵/۰۶/۱۵</v>
      </c>
      <c r="B45" s="281" t="str">
        <f>'برنامه خرد'!B36</f>
        <v>یکشنبه</v>
      </c>
      <c r="C45" s="681" t="n">
        <f>'برنامه خرد'!K36</f>
        <v>6</v>
      </c>
      <c r="D45" s="281" t="str">
        <f>IF('برنامه خرد'!N36='برنامه خرد'!O36,'برنامه خرد'!N36,'برنامه خرد'!N36&amp;" + "&amp;'برنامه خرد'!O36)</f>
        <v>نظریه‌های روان‌درمانی پروچاسکا + آسیب‌شناسی روانی</v>
      </c>
      <c r="E45" s="281" t="str">
        <f>'برنامه خرد'!E36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5" s="1054" t="str">
        <f>'برنامه خرد'!G36</f>
        <v>انجام‌نشده</v>
      </c>
      <c r="G45" s="1058" t="n">
        <f>'برنامه خرد'!AB36</f>
        <v>0</v>
      </c>
      <c r="H45" s="1058" t="n">
        <f>'برنامه خرد'!AG36</f>
        <v>240</v>
      </c>
      <c r="I45" s="1061"/>
      <c r="J45" s="1064" t="str">
        <f>IF(I45="","",IFERROR(I45/H45,0))</f>
      </c>
      <c r="K45" s="1058" t="n">
        <f>'برنامه خرد'!AI36</f>
        <v>34</v>
      </c>
      <c r="L45" s="1061"/>
      <c r="M45" s="1064" t="str">
        <f>IF(OR(L45="",K45=0),"",IFERROR(L45/K45,0))</f>
      </c>
      <c r="N45" s="1058" t="n">
        <f>'برنامه خرد'!AJ36</f>
        <v>17</v>
      </c>
      <c r="O45" s="1061"/>
      <c r="P45" s="1064" t="str">
        <f>IF(O45="","",IFERROR(O45/N45,0))</f>
      </c>
      <c r="Q45" s="1061"/>
      <c r="R45" s="1061"/>
      <c r="S45" s="1061"/>
      <c r="T45" s="1042"/>
      <c r="U45" s="1042"/>
      <c r="V45" s="1042"/>
      <c r="W45" s="1064" t="str">
        <f>IF(COUNT(J45,M45,P45)=0,"",AVERAGE(J45,M45,P45))</f>
      </c>
      <c r="X45" s="681" t="str">
        <f>IF(I45="","",I45-H45)</f>
      </c>
      <c r="Y45" s="282" t="str">
        <f>IF(I45="","ثبت‌نشده",IF(W45&gt;=0.9,"مطلوب",IF(W45&gt;=0.6,"نسبی","نیازمند جبران")))</f>
        <v>ثبت‌نشده</v>
      </c>
      <c r="Z45" s="1066" t="n">
        <f>'برنامه خرد'!I36</f>
        <v>46271</v>
      </c>
      <c r="AA45" s="61" t="n">
        <f>IF(I45="",0,1)</f>
        <v>0</v>
      </c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1423"/>
      <c r="AZ45" s="1423"/>
      <c r="BA45" s="1423"/>
      <c r="BB45" s="1423"/>
      <c r="BC45" s="1423"/>
      <c r="BD45" s="1423"/>
      <c r="BE45" s="1423"/>
      <c r="BF45" s="1423"/>
      <c r="BG45" s="1423"/>
      <c r="BH45" s="1423"/>
      <c r="BI45" s="1423"/>
      <c r="BJ45" s="1423"/>
      <c r="BK45" s="1423"/>
      <c r="BL45" s="1423"/>
      <c r="BM45" s="1423"/>
    </row>
    <row r="46" ht="48" customHeight="1">
      <c r="A46" s="366" t="str">
        <f>'برنامه خرد'!A37</f>
        <v>۱۴۰۵/۰۶/۱۶</v>
      </c>
      <c r="B46" s="367" t="str">
        <f>'برنامه خرد'!B37</f>
        <v>دوشنبه</v>
      </c>
      <c r="C46" s="680" t="n">
        <f>'برنامه خرد'!K37</f>
        <v>6</v>
      </c>
      <c r="D46" s="367" t="str">
        <f>IF('برنامه خرد'!N37='برنامه خرد'!O37,'برنامه خرد'!N37,'برنامه خرد'!N37&amp;" + "&amp;'برنامه خرد'!O37)</f>
        <v>روان‌شناسی رشد کرین + آسیب‌شناسی روانی</v>
      </c>
      <c r="E46" s="367" t="str">
        <f>'برنامه خرد'!E37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6" s="1054" t="str">
        <f>'برنامه خرد'!G37</f>
        <v>انجام‌نشده</v>
      </c>
      <c r="G46" s="1058" t="n">
        <f>'برنامه خرد'!AB37</f>
        <v>0</v>
      </c>
      <c r="H46" s="1058" t="n">
        <f>'برنامه خرد'!AG37</f>
        <v>240</v>
      </c>
      <c r="I46" s="1061"/>
      <c r="J46" s="1064" t="str">
        <f>IF(I46="","",IFERROR(I46/H46,0))</f>
      </c>
      <c r="K46" s="1058" t="n">
        <f>'برنامه خرد'!AI37</f>
        <v>26</v>
      </c>
      <c r="L46" s="1061"/>
      <c r="M46" s="1064" t="str">
        <f>IF(OR(L46="",K46=0),"",IFERROR(L46/K46,0))</f>
      </c>
      <c r="N46" s="1058" t="n">
        <f>'برنامه خرد'!AJ37</f>
        <v>17</v>
      </c>
      <c r="O46" s="1061"/>
      <c r="P46" s="1064" t="str">
        <f>IF(O46="","",IFERROR(O46/N46,0))</f>
      </c>
      <c r="Q46" s="1061"/>
      <c r="R46" s="1061"/>
      <c r="S46" s="1061"/>
      <c r="T46" s="1042"/>
      <c r="U46" s="1042"/>
      <c r="V46" s="1042"/>
      <c r="W46" s="1064" t="str">
        <f>IF(COUNT(J46,M46,P46)=0,"",AVERAGE(J46,M46,P46))</f>
      </c>
      <c r="X46" s="680" t="str">
        <f>IF(I46="","",I46-H46)</f>
      </c>
      <c r="Y46" s="368" t="str">
        <f>IF(I46="","ثبت‌نشده",IF(W46&gt;=0.9,"مطلوب",IF(W46&gt;=0.6,"نسبی","نیازمند جبران")))</f>
        <v>ثبت‌نشده</v>
      </c>
      <c r="Z46" s="1066" t="n">
        <f>'برنامه خرد'!I37</f>
        <v>46272</v>
      </c>
      <c r="AA46" s="61" t="n">
        <f>IF(I46="",0,1)</f>
        <v>0</v>
      </c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1423"/>
      <c r="AZ46" s="1423"/>
      <c r="BA46" s="1423"/>
      <c r="BB46" s="1423"/>
      <c r="BC46" s="1423"/>
      <c r="BD46" s="1423"/>
      <c r="BE46" s="1423"/>
      <c r="BF46" s="1423"/>
      <c r="BG46" s="1423"/>
      <c r="BH46" s="1423"/>
      <c r="BI46" s="1423"/>
      <c r="BJ46" s="1423"/>
      <c r="BK46" s="1423"/>
      <c r="BL46" s="1423"/>
      <c r="BM46" s="1423"/>
    </row>
    <row r="47" ht="48" customHeight="1">
      <c r="A47" s="280" t="str">
        <f>'برنامه خرد'!A38</f>
        <v>۱۴۰۵/۰۶/۱۷</v>
      </c>
      <c r="B47" s="281" t="str">
        <f>'برنامه خرد'!B38</f>
        <v>سه‌شنبه</v>
      </c>
      <c r="C47" s="681" t="n">
        <f>'برنامه خرد'!K38</f>
        <v>6</v>
      </c>
      <c r="D47" s="281" t="str">
        <f>IF('برنامه خرد'!N38='برنامه خرد'!O38,'برنامه خرد'!N38,'برنامه خرد'!N38&amp;" + "&amp;'برنامه خرد'!O38)</f>
        <v>آسیب‌شناسی روانی + نظریه‌های روان‌درمانی پروچاسکا</v>
      </c>
      <c r="E47" s="281" t="str">
        <f>'برنامه خرد'!E38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7" s="1054" t="str">
        <f>'برنامه خرد'!G38</f>
        <v>انجام‌نشده</v>
      </c>
      <c r="G47" s="1058" t="n">
        <f>'برنامه خرد'!AB38</f>
        <v>0</v>
      </c>
      <c r="H47" s="1058" t="n">
        <f>'برنامه خرد'!AG38</f>
        <v>240</v>
      </c>
      <c r="I47" s="1061"/>
      <c r="J47" s="1064" t="str">
        <f>IF(I47="","",IFERROR(I47/H47,0))</f>
      </c>
      <c r="K47" s="1058" t="n">
        <f>'برنامه خرد'!AI38</f>
        <v>28</v>
      </c>
      <c r="L47" s="1061"/>
      <c r="M47" s="1064" t="str">
        <f>IF(OR(L47="",K47=0),"",IFERROR(L47/K47,0))</f>
      </c>
      <c r="N47" s="1058" t="n">
        <f>'برنامه خرد'!AJ38</f>
        <v>17</v>
      </c>
      <c r="O47" s="1061"/>
      <c r="P47" s="1064" t="str">
        <f>IF(O47="","",IFERROR(O47/N47,0))</f>
      </c>
      <c r="Q47" s="1061"/>
      <c r="R47" s="1061"/>
      <c r="S47" s="1061"/>
      <c r="T47" s="1042"/>
      <c r="U47" s="1042"/>
      <c r="V47" s="1042"/>
      <c r="W47" s="1064" t="str">
        <f>IF(COUNT(J47,M47,P47)=0,"",AVERAGE(J47,M47,P47))</f>
      </c>
      <c r="X47" s="681" t="str">
        <f>IF(I47="","",I47-H47)</f>
      </c>
      <c r="Y47" s="282" t="str">
        <f>IF(I47="","ثبت‌نشده",IF(W47&gt;=0.9,"مطلوب",IF(W47&gt;=0.6,"نسبی","نیازمند جبران")))</f>
        <v>ثبت‌نشده</v>
      </c>
      <c r="Z47" s="1066" t="n">
        <f>'برنامه خرد'!I38</f>
        <v>46273</v>
      </c>
      <c r="AA47" s="61" t="n">
        <f>IF(I47="",0,1)</f>
        <v>0</v>
      </c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1423"/>
      <c r="AZ47" s="1423"/>
      <c r="BA47" s="1423"/>
      <c r="BB47" s="1423"/>
      <c r="BC47" s="1423"/>
      <c r="BD47" s="1423"/>
      <c r="BE47" s="1423"/>
      <c r="BF47" s="1423"/>
      <c r="BG47" s="1423"/>
      <c r="BH47" s="1423"/>
      <c r="BI47" s="1423"/>
      <c r="BJ47" s="1423"/>
      <c r="BK47" s="1423"/>
      <c r="BL47" s="1423"/>
      <c r="BM47" s="1423"/>
    </row>
    <row r="48" ht="48" customHeight="1">
      <c r="A48" s="366" t="str">
        <f>'برنامه خرد'!A39</f>
        <v>۱۴۰۵/۰۶/۱۸</v>
      </c>
      <c r="B48" s="367" t="str">
        <f>'برنامه خرد'!B39</f>
        <v>چهارشنبه</v>
      </c>
      <c r="C48" s="680" t="n">
        <f>'برنامه خرد'!K39</f>
        <v>6</v>
      </c>
      <c r="D48" s="367" t="str">
        <f>IF('برنامه خرد'!N39='برنامه خرد'!O39,'برنامه خرد'!N39,'برنامه خرد'!N39&amp;" + "&amp;'برنامه خرد'!O39)</f>
        <v>روان‌شناسی رشد کرین + نظریه‌های روان‌درمانی پروچاسکا</v>
      </c>
      <c r="E48" s="367" t="str">
        <f>'برنامه خرد'!E39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8" s="1054" t="str">
        <f>'برنامه خرد'!G39</f>
        <v>انجام‌نشده</v>
      </c>
      <c r="G48" s="1058" t="n">
        <f>'برنامه خرد'!AB39</f>
        <v>0</v>
      </c>
      <c r="H48" s="1058" t="n">
        <f>'برنامه خرد'!AG39</f>
        <v>240</v>
      </c>
      <c r="I48" s="1061"/>
      <c r="J48" s="1064" t="str">
        <f>IF(I48="","",IFERROR(I48/H48,0))</f>
      </c>
      <c r="K48" s="1058" t="n">
        <f>'برنامه خرد'!AI39</f>
        <v>28</v>
      </c>
      <c r="L48" s="1061"/>
      <c r="M48" s="1064" t="str">
        <f>IF(OR(L48="",K48=0),"",IFERROR(L48/K48,0))</f>
      </c>
      <c r="N48" s="1058" t="n">
        <f>'برنامه خرد'!AJ39</f>
        <v>17</v>
      </c>
      <c r="O48" s="1061"/>
      <c r="P48" s="1064" t="str">
        <f>IF(O48="","",IFERROR(O48/N48,0))</f>
      </c>
      <c r="Q48" s="1061"/>
      <c r="R48" s="1061"/>
      <c r="S48" s="1061"/>
      <c r="T48" s="1042"/>
      <c r="U48" s="1042"/>
      <c r="V48" s="1042"/>
      <c r="W48" s="1064" t="str">
        <f>IF(COUNT(J48,M48,P48)=0,"",AVERAGE(J48,M48,P48))</f>
      </c>
      <c r="X48" s="680" t="str">
        <f>IF(I48="","",I48-H48)</f>
      </c>
      <c r="Y48" s="368" t="str">
        <f>IF(I48="","ثبت‌نشده",IF(W48&gt;=0.9,"مطلوب",IF(W48&gt;=0.6,"نسبی","نیازمند جبران")))</f>
        <v>ثبت‌نشده</v>
      </c>
      <c r="Z48" s="1066" t="n">
        <f>'برنامه خرد'!I39</f>
        <v>46274</v>
      </c>
      <c r="AA48" s="61" t="n">
        <f>IF(I48="",0,1)</f>
        <v>0</v>
      </c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1423"/>
      <c r="AZ48" s="1423"/>
      <c r="BA48" s="1423"/>
      <c r="BB48" s="1423"/>
      <c r="BC48" s="1423"/>
      <c r="BD48" s="1423"/>
      <c r="BE48" s="1423"/>
      <c r="BF48" s="1423"/>
      <c r="BG48" s="1423"/>
      <c r="BH48" s="1423"/>
      <c r="BI48" s="1423"/>
      <c r="BJ48" s="1423"/>
      <c r="BK48" s="1423"/>
      <c r="BL48" s="1423"/>
      <c r="BM48" s="1423"/>
    </row>
    <row r="49" ht="48" customHeight="1">
      <c r="A49" s="280" t="str">
        <f>'برنامه خرد'!A40</f>
        <v>۱۴۰۵/۰۶/۱۹</v>
      </c>
      <c r="B49" s="281" t="str">
        <f>'برنامه خرد'!B40</f>
        <v>پنجشنبه</v>
      </c>
      <c r="C49" s="681" t="n">
        <f>'برنامه خرد'!K40</f>
        <v>6</v>
      </c>
      <c r="D49" s="281" t="str">
        <f>IF('برنامه خرد'!N40='برنامه خرد'!O40,'برنامه خرد'!N40,'برنامه خرد'!N40&amp;" + "&amp;'برنامه خرد'!O40)</f>
        <v>آسیب‌شناسی روانی + نظریه‌های روان‌درمانی پروچاسکا</v>
      </c>
      <c r="E49" s="281" t="str">
        <f>'برنامه خرد'!E40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49" s="1054" t="str">
        <f>'برنامه خرد'!G40</f>
        <v>انجام‌نشده</v>
      </c>
      <c r="G49" s="1058" t="n">
        <f>'برنامه خرد'!AB40</f>
        <v>0</v>
      </c>
      <c r="H49" s="1058" t="n">
        <f>'برنامه خرد'!AG40</f>
        <v>240</v>
      </c>
      <c r="I49" s="1061"/>
      <c r="J49" s="1064" t="str">
        <f>IF(I49="","",IFERROR(I49/H49,0))</f>
      </c>
      <c r="K49" s="1058" t="n">
        <f>'برنامه خرد'!AI40</f>
        <v>28</v>
      </c>
      <c r="L49" s="1061"/>
      <c r="M49" s="1064" t="str">
        <f>IF(OR(L49="",K49=0),"",IFERROR(L49/K49,0))</f>
      </c>
      <c r="N49" s="1058" t="n">
        <f>'برنامه خرد'!AJ40</f>
        <v>17</v>
      </c>
      <c r="O49" s="1061"/>
      <c r="P49" s="1064" t="str">
        <f>IF(O49="","",IFERROR(O49/N49,0))</f>
      </c>
      <c r="Q49" s="1061"/>
      <c r="R49" s="1061"/>
      <c r="S49" s="1061"/>
      <c r="T49" s="1042"/>
      <c r="U49" s="1042"/>
      <c r="V49" s="1042"/>
      <c r="W49" s="1064" t="str">
        <f>IF(COUNT(J49,M49,P49)=0,"",AVERAGE(J49,M49,P49))</f>
      </c>
      <c r="X49" s="681" t="str">
        <f>IF(I49="","",I49-H49)</f>
      </c>
      <c r="Y49" s="282" t="str">
        <f>IF(I49="","ثبت‌نشده",IF(W49&gt;=0.9,"مطلوب",IF(W49&gt;=0.6,"نسبی","نیازمند جبران")))</f>
        <v>ثبت‌نشده</v>
      </c>
      <c r="Z49" s="1066" t="n">
        <f>'برنامه خرد'!I40</f>
        <v>46275</v>
      </c>
      <c r="AA49" s="61" t="n">
        <f>IF(I49="",0,1)</f>
        <v>0</v>
      </c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1423"/>
      <c r="AZ49" s="1423"/>
      <c r="BA49" s="1423"/>
      <c r="BB49" s="1423"/>
      <c r="BC49" s="1423"/>
      <c r="BD49" s="1423"/>
      <c r="BE49" s="1423"/>
      <c r="BF49" s="1423"/>
      <c r="BG49" s="1423"/>
      <c r="BH49" s="1423"/>
      <c r="BI49" s="1423"/>
      <c r="BJ49" s="1423"/>
      <c r="BK49" s="1423"/>
      <c r="BL49" s="1423"/>
      <c r="BM49" s="1423"/>
    </row>
    <row r="50" ht="48" customHeight="1">
      <c r="A50" s="366" t="str">
        <f>'برنامه خرد'!A41</f>
        <v>۱۴۰۵/۰۶/۲۰</v>
      </c>
      <c r="B50" s="367" t="str">
        <f>'برنامه خرد'!B41</f>
        <v>جمعه</v>
      </c>
      <c r="C50" s="680" t="n">
        <f>'برنامه خرد'!K41</f>
        <v>6</v>
      </c>
      <c r="D50" s="367" t="str">
        <f>IF('برنامه خرد'!N41='برنامه خرد'!O41,'برنامه خرد'!N41,'برنامه خرد'!N41&amp;" + "&amp;'برنامه خرد'!O41)</f>
        <v>نظریه‌های روان‌درمانی پروچاسکا</v>
      </c>
      <c r="E50" s="367" t="str">
        <f>'برنامه خرد'!E41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50" s="1054" t="str">
        <f>'برنامه خرد'!G41</f>
        <v>انجام‌نشده</v>
      </c>
      <c r="G50" s="1058" t="n">
        <f>'برنامه خرد'!AB41</f>
        <v>0</v>
      </c>
      <c r="H50" s="1058" t="n">
        <f>'برنامه خرد'!AG41</f>
        <v>240</v>
      </c>
      <c r="I50" s="1061"/>
      <c r="J50" s="1064" t="str">
        <f>IF(I50="","",IFERROR(I50/H50,0))</f>
      </c>
      <c r="K50" s="1058" t="n">
        <f>'برنامه خرد'!AI41</f>
        <v>28</v>
      </c>
      <c r="L50" s="1061"/>
      <c r="M50" s="1064" t="str">
        <f>IF(OR(L50="",K50=0),"",IFERROR(L50/K50,0))</f>
      </c>
      <c r="N50" s="1058" t="n">
        <f>'برنامه خرد'!AJ41</f>
        <v>17</v>
      </c>
      <c r="O50" s="1061"/>
      <c r="P50" s="1064" t="str">
        <f>IF(O50="","",IFERROR(O50/N50,0))</f>
      </c>
      <c r="Q50" s="1061"/>
      <c r="R50" s="1061"/>
      <c r="S50" s="1061"/>
      <c r="T50" s="1042"/>
      <c r="U50" s="1042"/>
      <c r="V50" s="1042"/>
      <c r="W50" s="1064" t="str">
        <f>IF(COUNT(J50,M50,P50)=0,"",AVERAGE(J50,M50,P50))</f>
      </c>
      <c r="X50" s="680" t="str">
        <f>IF(I50="","",I50-H50)</f>
      </c>
      <c r="Y50" s="368" t="str">
        <f>IF(I50="","ثبت‌نشده",IF(W50&gt;=0.9,"مطلوب",IF(W50&gt;=0.6,"نسبی","نیازمند جبران")))</f>
        <v>ثبت‌نشده</v>
      </c>
      <c r="Z50" s="1066" t="n">
        <f>'برنامه خرد'!I41</f>
        <v>46276</v>
      </c>
      <c r="AA50" s="61" t="n">
        <f>IF(I50="",0,1)</f>
        <v>0</v>
      </c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1423"/>
      <c r="AZ50" s="1423"/>
      <c r="BA50" s="1423"/>
      <c r="BB50" s="1423"/>
      <c r="BC50" s="1423"/>
      <c r="BD50" s="1423"/>
      <c r="BE50" s="1423"/>
      <c r="BF50" s="1423"/>
      <c r="BG50" s="1423"/>
      <c r="BH50" s="1423"/>
      <c r="BI50" s="1423"/>
      <c r="BJ50" s="1423"/>
      <c r="BK50" s="1423"/>
      <c r="BL50" s="1423"/>
      <c r="BM50" s="1423"/>
    </row>
    <row r="51" ht="48" customHeight="1">
      <c r="A51" s="280" t="str">
        <f>'برنامه خرد'!A42</f>
        <v>۱۴۰۵/۰۶/۲۱</v>
      </c>
      <c r="B51" s="281" t="str">
        <f>'برنامه خرد'!B42</f>
        <v>شنبه</v>
      </c>
      <c r="C51" s="681" t="n">
        <f>'برنامه خرد'!K42</f>
        <v>7</v>
      </c>
      <c r="D51" s="281" t="str">
        <f>IF('برنامه خرد'!N42='برنامه خرد'!O42,'برنامه خرد'!N42,'برنامه خرد'!N42&amp;" + "&amp;'برنامه خرد'!O42)</f>
        <v>روان‌شناسی رشد کرین + آسیب‌شناسی روانی</v>
      </c>
      <c r="E51" s="281" t="str">
        <f>'برنامه خرد'!E42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1" s="1054" t="str">
        <f>'برنامه خرد'!G42</f>
        <v>انجام‌نشده</v>
      </c>
      <c r="G51" s="1058" t="n">
        <f>'برنامه خرد'!AB42</f>
        <v>0</v>
      </c>
      <c r="H51" s="1058" t="n">
        <f>'برنامه خرد'!AG42</f>
        <v>240</v>
      </c>
      <c r="I51" s="1061"/>
      <c r="J51" s="1064" t="str">
        <f>IF(I51="","",IFERROR(I51/H51,0))</f>
      </c>
      <c r="K51" s="1058" t="n">
        <f>'برنامه خرد'!AI42</f>
        <v>26</v>
      </c>
      <c r="L51" s="1061"/>
      <c r="M51" s="1064" t="str">
        <f>IF(OR(L51="",K51=0),"",IFERROR(L51/K51,0))</f>
      </c>
      <c r="N51" s="1058" t="n">
        <f>'برنامه خرد'!AJ42</f>
        <v>17</v>
      </c>
      <c r="O51" s="1061"/>
      <c r="P51" s="1064" t="str">
        <f>IF(O51="","",IFERROR(O51/N51,0))</f>
      </c>
      <c r="Q51" s="1061"/>
      <c r="R51" s="1061"/>
      <c r="S51" s="1061"/>
      <c r="T51" s="1042"/>
      <c r="U51" s="1042"/>
      <c r="V51" s="1042"/>
      <c r="W51" s="1064" t="str">
        <f>IF(COUNT(J51,M51,P51)=0,"",AVERAGE(J51,M51,P51))</f>
      </c>
      <c r="X51" s="681" t="str">
        <f>IF(I51="","",I51-H51)</f>
      </c>
      <c r="Y51" s="282" t="str">
        <f>IF(I51="","ثبت‌نشده",IF(W51&gt;=0.9,"مطلوب",IF(W51&gt;=0.6,"نسبی","نیازمند جبران")))</f>
        <v>ثبت‌نشده</v>
      </c>
      <c r="Z51" s="1066" t="n">
        <f>'برنامه خرد'!I42</f>
        <v>46277</v>
      </c>
      <c r="AA51" s="61" t="n">
        <f>IF(I51="",0,1)</f>
        <v>0</v>
      </c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1423"/>
      <c r="AZ51" s="1423"/>
      <c r="BA51" s="1423"/>
      <c r="BB51" s="1423"/>
      <c r="BC51" s="1423"/>
      <c r="BD51" s="1423"/>
      <c r="BE51" s="1423"/>
      <c r="BF51" s="1423"/>
      <c r="BG51" s="1423"/>
      <c r="BH51" s="1423"/>
      <c r="BI51" s="1423"/>
      <c r="BJ51" s="1423"/>
      <c r="BK51" s="1423"/>
      <c r="BL51" s="1423"/>
      <c r="BM51" s="1423"/>
    </row>
    <row r="52" ht="48" customHeight="1">
      <c r="A52" s="366" t="str">
        <f>'برنامه خرد'!A43</f>
        <v>۱۴۰۵/۰۶/۲۲</v>
      </c>
      <c r="B52" s="367" t="str">
        <f>'برنامه خرد'!B43</f>
        <v>یکشنبه</v>
      </c>
      <c r="C52" s="680" t="n">
        <f>'برنامه خرد'!K43</f>
        <v>7</v>
      </c>
      <c r="D52" s="367" t="str">
        <f>IF('برنامه خرد'!N43='برنامه خرد'!O43,'برنامه خرد'!N43,'برنامه خرد'!N43&amp;" + "&amp;'برنامه خرد'!O43)</f>
        <v>نظریه‌های روان‌درمانی پروچاسکا + آسیب‌شناسی روانی</v>
      </c>
      <c r="E52" s="367" t="str">
        <f>'برنامه خرد'!E43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2" s="1054" t="str">
        <f>'برنامه خرد'!G43</f>
        <v>انجام‌نشده</v>
      </c>
      <c r="G52" s="1058" t="n">
        <f>'برنامه خرد'!AB43</f>
        <v>0</v>
      </c>
      <c r="H52" s="1058" t="n">
        <f>'برنامه خرد'!AG43</f>
        <v>240</v>
      </c>
      <c r="I52" s="1061"/>
      <c r="J52" s="1064" t="str">
        <f>IF(I52="","",IFERROR(I52/H52,0))</f>
      </c>
      <c r="K52" s="1058" t="n">
        <f>'برنامه خرد'!AI43</f>
        <v>34</v>
      </c>
      <c r="L52" s="1061"/>
      <c r="M52" s="1064" t="str">
        <f>IF(OR(L52="",K52=0),"",IFERROR(L52/K52,0))</f>
      </c>
      <c r="N52" s="1058" t="n">
        <f>'برنامه خرد'!AJ43</f>
        <v>17</v>
      </c>
      <c r="O52" s="1061"/>
      <c r="P52" s="1064" t="str">
        <f>IF(O52="","",IFERROR(O52/N52,0))</f>
      </c>
      <c r="Q52" s="1061"/>
      <c r="R52" s="1061"/>
      <c r="S52" s="1061"/>
      <c r="T52" s="1042"/>
      <c r="U52" s="1042"/>
      <c r="V52" s="1042"/>
      <c r="W52" s="1064" t="str">
        <f>IF(COUNT(J52,M52,P52)=0,"",AVERAGE(J52,M52,P52))</f>
      </c>
      <c r="X52" s="680" t="str">
        <f>IF(I52="","",I52-H52)</f>
      </c>
      <c r="Y52" s="368" t="str">
        <f>IF(I52="","ثبت‌نشده",IF(W52&gt;=0.9,"مطلوب",IF(W52&gt;=0.6,"نسبی","نیازمند جبران")))</f>
        <v>ثبت‌نشده</v>
      </c>
      <c r="Z52" s="1066" t="n">
        <f>'برنامه خرد'!I43</f>
        <v>46278</v>
      </c>
      <c r="AA52" s="61" t="n">
        <f>IF(I52="",0,1)</f>
        <v>0</v>
      </c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1423"/>
      <c r="AZ52" s="1423"/>
      <c r="BA52" s="1423"/>
      <c r="BB52" s="1423"/>
      <c r="BC52" s="1423"/>
      <c r="BD52" s="1423"/>
      <c r="BE52" s="1423"/>
      <c r="BF52" s="1423"/>
      <c r="BG52" s="1423"/>
      <c r="BH52" s="1423"/>
      <c r="BI52" s="1423"/>
      <c r="BJ52" s="1423"/>
      <c r="BK52" s="1423"/>
      <c r="BL52" s="1423"/>
      <c r="BM52" s="1423"/>
    </row>
    <row r="53" ht="48" customHeight="1">
      <c r="A53" s="280" t="str">
        <f>'برنامه خرد'!A44</f>
        <v>۱۴۰۵/۰۶/۲۳</v>
      </c>
      <c r="B53" s="281" t="str">
        <f>'برنامه خرد'!B44</f>
        <v>دوشنبه</v>
      </c>
      <c r="C53" s="681" t="n">
        <f>'برنامه خرد'!K44</f>
        <v>7</v>
      </c>
      <c r="D53" s="281" t="str">
        <f>IF('برنامه خرد'!N44='برنامه خرد'!O44,'برنامه خرد'!N44,'برنامه خرد'!N44&amp;" + "&amp;'برنامه خرد'!O44)</f>
        <v>آسیب‌شناسی روانی + روان‌شناسی رشد کرین</v>
      </c>
      <c r="E53" s="281" t="str">
        <f>'برنامه خرد'!E44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3" s="1054" t="str">
        <f>'برنامه خرد'!G44</f>
        <v>انجام‌نشده</v>
      </c>
      <c r="G53" s="1058" t="n">
        <f>'برنامه خرد'!AB44</f>
        <v>0</v>
      </c>
      <c r="H53" s="1058" t="n">
        <f>'برنامه خرد'!AG44</f>
        <v>240</v>
      </c>
      <c r="I53" s="1061"/>
      <c r="J53" s="1064" t="str">
        <f>IF(I53="","",IFERROR(I53/H53,0))</f>
      </c>
      <c r="K53" s="1058" t="n">
        <f>'برنامه خرد'!AI44</f>
        <v>26</v>
      </c>
      <c r="L53" s="1061"/>
      <c r="M53" s="1064" t="str">
        <f>IF(OR(L53="",K53=0),"",IFERROR(L53/K53,0))</f>
      </c>
      <c r="N53" s="1058" t="n">
        <f>'برنامه خرد'!AJ44</f>
        <v>17</v>
      </c>
      <c r="O53" s="1061"/>
      <c r="P53" s="1064" t="str">
        <f>IF(O53="","",IFERROR(O53/N53,0))</f>
      </c>
      <c r="Q53" s="1061"/>
      <c r="R53" s="1061"/>
      <c r="S53" s="1061"/>
      <c r="T53" s="1042"/>
      <c r="U53" s="1042"/>
      <c r="V53" s="1042"/>
      <c r="W53" s="1064" t="str">
        <f>IF(COUNT(J53,M53,P53)=0,"",AVERAGE(J53,M53,P53))</f>
      </c>
      <c r="X53" s="681" t="str">
        <f>IF(I53="","",I53-H53)</f>
      </c>
      <c r="Y53" s="282" t="str">
        <f>IF(I53="","ثبت‌نشده",IF(W53&gt;=0.9,"مطلوب",IF(W53&gt;=0.6,"نسبی","نیازمند جبران")))</f>
        <v>ثبت‌نشده</v>
      </c>
      <c r="Z53" s="1066" t="n">
        <f>'برنامه خرد'!I44</f>
        <v>46279</v>
      </c>
      <c r="AA53" s="61" t="n">
        <f>IF(I53="",0,1)</f>
        <v>0</v>
      </c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1423"/>
      <c r="AZ53" s="1423"/>
      <c r="BA53" s="1423"/>
      <c r="BB53" s="1423"/>
      <c r="BC53" s="1423"/>
      <c r="BD53" s="1423"/>
      <c r="BE53" s="1423"/>
      <c r="BF53" s="1423"/>
      <c r="BG53" s="1423"/>
      <c r="BH53" s="1423"/>
      <c r="BI53" s="1423"/>
      <c r="BJ53" s="1423"/>
      <c r="BK53" s="1423"/>
      <c r="BL53" s="1423"/>
      <c r="BM53" s="1423"/>
    </row>
    <row r="54" ht="48" customHeight="1">
      <c r="A54" s="366" t="str">
        <f>'برنامه خرد'!A45</f>
        <v>۱۴۰۵/۰۶/۲۴</v>
      </c>
      <c r="B54" s="367" t="str">
        <f>'برنامه خرد'!B45</f>
        <v>سه‌شنبه</v>
      </c>
      <c r="C54" s="680" t="n">
        <f>'برنامه خرد'!K45</f>
        <v>7</v>
      </c>
      <c r="D54" s="367" t="str">
        <f>IF('برنامه خرد'!N45='برنامه خرد'!O45,'برنامه خرد'!N45,'برنامه خرد'!N45&amp;" + "&amp;'برنامه خرد'!O45)</f>
        <v>روان‌شناسی رشد کرین + نظریه‌های روان‌درمانی پروچاسکا</v>
      </c>
      <c r="E54" s="367" t="str">
        <f>'برنامه خرد'!E45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4" s="1054" t="str">
        <f>'برنامه خرد'!G45</f>
        <v>انجام‌نشده</v>
      </c>
      <c r="G54" s="1058" t="n">
        <f>'برنامه خرد'!AB45</f>
        <v>0</v>
      </c>
      <c r="H54" s="1058" t="n">
        <f>'برنامه خرد'!AG45</f>
        <v>240</v>
      </c>
      <c r="I54" s="1061"/>
      <c r="J54" s="1064" t="str">
        <f>IF(I54="","",IFERROR(I54/H54,0))</f>
      </c>
      <c r="K54" s="1058" t="n">
        <f>'برنامه خرد'!AI45</f>
        <v>28</v>
      </c>
      <c r="L54" s="1061"/>
      <c r="M54" s="1064" t="str">
        <f>IF(OR(L54="",K54=0),"",IFERROR(L54/K54,0))</f>
      </c>
      <c r="N54" s="1058" t="n">
        <f>'برنامه خرد'!AJ45</f>
        <v>17</v>
      </c>
      <c r="O54" s="1061"/>
      <c r="P54" s="1064" t="str">
        <f>IF(O54="","",IFERROR(O54/N54,0))</f>
      </c>
      <c r="Q54" s="1061"/>
      <c r="R54" s="1061"/>
      <c r="S54" s="1061"/>
      <c r="T54" s="1042"/>
      <c r="U54" s="1042"/>
      <c r="V54" s="1042"/>
      <c r="W54" s="1064" t="str">
        <f>IF(COUNT(J54,M54,P54)=0,"",AVERAGE(J54,M54,P54))</f>
      </c>
      <c r="X54" s="680" t="str">
        <f>IF(I54="","",I54-H54)</f>
      </c>
      <c r="Y54" s="368" t="str">
        <f>IF(I54="","ثبت‌نشده",IF(W54&gt;=0.9,"مطلوب",IF(W54&gt;=0.6,"نسبی","نیازمند جبران")))</f>
        <v>ثبت‌نشده</v>
      </c>
      <c r="Z54" s="1066" t="n">
        <f>'برنامه خرد'!I45</f>
        <v>46280</v>
      </c>
      <c r="AA54" s="61" t="n">
        <f>IF(I54="",0,1)</f>
        <v>0</v>
      </c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1423"/>
      <c r="AZ54" s="1423"/>
      <c r="BA54" s="1423"/>
      <c r="BB54" s="1423"/>
      <c r="BC54" s="1423"/>
      <c r="BD54" s="1423"/>
      <c r="BE54" s="1423"/>
      <c r="BF54" s="1423"/>
      <c r="BG54" s="1423"/>
      <c r="BH54" s="1423"/>
      <c r="BI54" s="1423"/>
      <c r="BJ54" s="1423"/>
      <c r="BK54" s="1423"/>
      <c r="BL54" s="1423"/>
      <c r="BM54" s="1423"/>
    </row>
    <row r="55" ht="48" customHeight="1">
      <c r="A55" s="280" t="str">
        <f>'برنامه خرد'!A46</f>
        <v>۱۴۰۵/۰۶/۲۵</v>
      </c>
      <c r="B55" s="281" t="str">
        <f>'برنامه خرد'!B46</f>
        <v>چهارشنبه</v>
      </c>
      <c r="C55" s="681" t="n">
        <f>'برنامه خرد'!K46</f>
        <v>7</v>
      </c>
      <c r="D55" s="281" t="str">
        <f>IF('برنامه خرد'!N46='برنامه خرد'!O46,'برنامه خرد'!N46,'برنامه خرد'!N46&amp;" + "&amp;'برنامه خرد'!O46)</f>
        <v>آسیب‌شناسی روانی + نظریه‌های روان‌درمانی پروچاسکا</v>
      </c>
      <c r="E55" s="281" t="str">
        <f>'برنامه خرد'!E46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5" s="1054" t="str">
        <f>'برنامه خرد'!G46</f>
        <v>انجام‌نشده</v>
      </c>
      <c r="G55" s="1058" t="n">
        <f>'برنامه خرد'!AB46</f>
        <v>0</v>
      </c>
      <c r="H55" s="1058" t="n">
        <f>'برنامه خرد'!AG46</f>
        <v>240</v>
      </c>
      <c r="I55" s="1061"/>
      <c r="J55" s="1064" t="str">
        <f>IF(I55="","",IFERROR(I55/H55,0))</f>
      </c>
      <c r="K55" s="1058" t="n">
        <f>'برنامه خرد'!AI46</f>
        <v>28</v>
      </c>
      <c r="L55" s="1061"/>
      <c r="M55" s="1064" t="str">
        <f>IF(OR(L55="",K55=0),"",IFERROR(L55/K55,0))</f>
      </c>
      <c r="N55" s="1058" t="n">
        <f>'برنامه خرد'!AJ46</f>
        <v>17</v>
      </c>
      <c r="O55" s="1061"/>
      <c r="P55" s="1064" t="str">
        <f>IF(O55="","",IFERROR(O55/N55,0))</f>
      </c>
      <c r="Q55" s="1061"/>
      <c r="R55" s="1061"/>
      <c r="S55" s="1061"/>
      <c r="T55" s="1042"/>
      <c r="U55" s="1042"/>
      <c r="V55" s="1042"/>
      <c r="W55" s="1064" t="str">
        <f>IF(COUNT(J55,M55,P55)=0,"",AVERAGE(J55,M55,P55))</f>
      </c>
      <c r="X55" s="681" t="str">
        <f>IF(I55="","",I55-H55)</f>
      </c>
      <c r="Y55" s="282" t="str">
        <f>IF(I55="","ثبت‌نشده",IF(W55&gt;=0.9,"مطلوب",IF(W55&gt;=0.6,"نسبی","نیازمند جبران")))</f>
        <v>ثبت‌نشده</v>
      </c>
      <c r="Z55" s="1066" t="n">
        <f>'برنامه خرد'!I46</f>
        <v>46281</v>
      </c>
      <c r="AA55" s="61" t="n">
        <f>IF(I55="",0,1)</f>
        <v>0</v>
      </c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1423"/>
      <c r="AZ55" s="1423"/>
      <c r="BA55" s="1423"/>
      <c r="BB55" s="1423"/>
      <c r="BC55" s="1423"/>
      <c r="BD55" s="1423"/>
      <c r="BE55" s="1423"/>
      <c r="BF55" s="1423"/>
      <c r="BG55" s="1423"/>
      <c r="BH55" s="1423"/>
      <c r="BI55" s="1423"/>
      <c r="BJ55" s="1423"/>
      <c r="BK55" s="1423"/>
      <c r="BL55" s="1423"/>
      <c r="BM55" s="1423"/>
    </row>
    <row r="56" ht="48" customHeight="1">
      <c r="A56" s="366" t="str">
        <f>'برنامه خرد'!A47</f>
        <v>۱۴۰۵/۰۶/۲۶</v>
      </c>
      <c r="B56" s="367" t="str">
        <f>'برنامه خرد'!B47</f>
        <v>پنجشنبه</v>
      </c>
      <c r="C56" s="680" t="n">
        <f>'برنامه خرد'!K47</f>
        <v>7</v>
      </c>
      <c r="D56" s="367" t="str">
        <f>IF('برنامه خرد'!N47='برنامه خرد'!O47,'برنامه خرد'!N47,'برنامه خرد'!N47&amp;" + "&amp;'برنامه خرد'!O47)</f>
        <v>نظریه‌های روان‌درمانی پروچاسکا + روان‌شناسی رشد کرین</v>
      </c>
      <c r="E56" s="367" t="str">
        <f>'برنامه خرد'!E47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6" s="1054" t="str">
        <f>'برنامه خرد'!G47</f>
        <v>انجام‌نشده</v>
      </c>
      <c r="G56" s="1058" t="n">
        <f>'برنامه خرد'!AB47</f>
        <v>0</v>
      </c>
      <c r="H56" s="1058" t="n">
        <f>'برنامه خرد'!AG47</f>
        <v>240</v>
      </c>
      <c r="I56" s="1061"/>
      <c r="J56" s="1064" t="str">
        <f>IF(I56="","",IFERROR(I56/H56,0))</f>
      </c>
      <c r="K56" s="1058" t="n">
        <f>'برنامه خرد'!AI47</f>
        <v>33</v>
      </c>
      <c r="L56" s="1061"/>
      <c r="M56" s="1064" t="str">
        <f>IF(OR(L56="",K56=0),"",IFERROR(L56/K56,0))</f>
      </c>
      <c r="N56" s="1058" t="n">
        <f>'برنامه خرد'!AJ47</f>
        <v>17</v>
      </c>
      <c r="O56" s="1061"/>
      <c r="P56" s="1064" t="str">
        <f>IF(O56="","",IFERROR(O56/N56,0))</f>
      </c>
      <c r="Q56" s="1061"/>
      <c r="R56" s="1061"/>
      <c r="S56" s="1061"/>
      <c r="T56" s="1042"/>
      <c r="U56" s="1042"/>
      <c r="V56" s="1042"/>
      <c r="W56" s="1064" t="str">
        <f>IF(COUNT(J56,M56,P56)=0,"",AVERAGE(J56,M56,P56))</f>
      </c>
      <c r="X56" s="680" t="str">
        <f>IF(I56="","",I56-H56)</f>
      </c>
      <c r="Y56" s="368" t="str">
        <f>IF(I56="","ثبت‌نشده",IF(W56&gt;=0.9,"مطلوب",IF(W56&gt;=0.6,"نسبی","نیازمند جبران")))</f>
        <v>ثبت‌نشده</v>
      </c>
      <c r="Z56" s="1066" t="n">
        <f>'برنامه خرد'!I47</f>
        <v>46282</v>
      </c>
      <c r="AA56" s="61" t="n">
        <f>IF(I56="",0,1)</f>
        <v>0</v>
      </c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1423"/>
      <c r="AZ56" s="1423"/>
      <c r="BA56" s="1423"/>
      <c r="BB56" s="1423"/>
      <c r="BC56" s="1423"/>
      <c r="BD56" s="1423"/>
      <c r="BE56" s="1423"/>
      <c r="BF56" s="1423"/>
      <c r="BG56" s="1423"/>
      <c r="BH56" s="1423"/>
      <c r="BI56" s="1423"/>
      <c r="BJ56" s="1423"/>
      <c r="BK56" s="1423"/>
      <c r="BL56" s="1423"/>
      <c r="BM56" s="1423"/>
    </row>
    <row r="57" ht="48" customHeight="1">
      <c r="A57" s="280" t="str">
        <f>'برنامه خرد'!A48</f>
        <v>۱۴۰۵/۰۶/۲۷</v>
      </c>
      <c r="B57" s="281" t="str">
        <f>'برنامه خرد'!B48</f>
        <v>جمعه</v>
      </c>
      <c r="C57" s="681" t="n">
        <f>'برنامه خرد'!K48</f>
        <v>7</v>
      </c>
      <c r="D57" s="281" t="str">
        <f>IF('برنامه خرد'!N48='برنامه خرد'!O48,'برنامه خرد'!N48,'برنامه خرد'!N48&amp;" + "&amp;'برنامه خرد'!O48)</f>
        <v>روان‌شناسی رشد کرین</v>
      </c>
      <c r="E57" s="281" t="str">
        <f>'برنامه خرد'!E48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57" s="1054" t="str">
        <f>'برنامه خرد'!G48</f>
        <v>انجام‌نشده</v>
      </c>
      <c r="G57" s="1058" t="n">
        <f>'برنامه خرد'!AB48</f>
        <v>0</v>
      </c>
      <c r="H57" s="1058" t="n">
        <f>'برنامه خرد'!AG48</f>
        <v>240</v>
      </c>
      <c r="I57" s="1061"/>
      <c r="J57" s="1064" t="str">
        <f>IF(I57="","",IFERROR(I57/H57,0))</f>
      </c>
      <c r="K57" s="1058" t="n">
        <f>'برنامه خرد'!AI48</f>
        <v>20</v>
      </c>
      <c r="L57" s="1061"/>
      <c r="M57" s="1064" t="str">
        <f>IF(OR(L57="",K57=0),"",IFERROR(L57/K57,0))</f>
      </c>
      <c r="N57" s="1058" t="n">
        <f>'برنامه خرد'!AJ48</f>
        <v>17</v>
      </c>
      <c r="O57" s="1061"/>
      <c r="P57" s="1064" t="str">
        <f>IF(O57="","",IFERROR(O57/N57,0))</f>
      </c>
      <c r="Q57" s="1061"/>
      <c r="R57" s="1061"/>
      <c r="S57" s="1061"/>
      <c r="T57" s="1042"/>
      <c r="U57" s="1042"/>
      <c r="V57" s="1042"/>
      <c r="W57" s="1064" t="str">
        <f>IF(COUNT(J57,M57,P57)=0,"",AVERAGE(J57,M57,P57))</f>
      </c>
      <c r="X57" s="681" t="str">
        <f>IF(I57="","",I57-H57)</f>
      </c>
      <c r="Y57" s="282" t="str">
        <f>IF(I57="","ثبت‌نشده",IF(W57&gt;=0.9,"مطلوب",IF(W57&gt;=0.6,"نسبی","نیازمند جبران")))</f>
        <v>ثبت‌نشده</v>
      </c>
      <c r="Z57" s="1066" t="n">
        <f>'برنامه خرد'!I48</f>
        <v>46283</v>
      </c>
      <c r="AA57" s="61" t="n">
        <f>IF(I57="",0,1)</f>
        <v>0</v>
      </c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1423"/>
      <c r="AZ57" s="1423"/>
      <c r="BA57" s="1423"/>
      <c r="BB57" s="1423"/>
      <c r="BC57" s="1423"/>
      <c r="BD57" s="1423"/>
      <c r="BE57" s="1423"/>
      <c r="BF57" s="1423"/>
      <c r="BG57" s="1423"/>
      <c r="BH57" s="1423"/>
      <c r="BI57" s="1423"/>
      <c r="BJ57" s="1423"/>
      <c r="BK57" s="1423"/>
      <c r="BL57" s="1423"/>
      <c r="BM57" s="1423"/>
    </row>
    <row r="58" ht="48" customHeight="1">
      <c r="A58" s="366" t="str">
        <f>'برنامه خرد'!A49</f>
        <v>۱۴۰۵/۰۶/۲۸</v>
      </c>
      <c r="B58" s="367" t="str">
        <f>'برنامه خرد'!B49</f>
        <v>شنبه</v>
      </c>
      <c r="C58" s="680" t="n">
        <f>'برنامه خرد'!K49</f>
        <v>8</v>
      </c>
      <c r="D58" s="367" t="str">
        <f>IF('برنامه خرد'!N49='برنامه خرد'!O49,'برنامه خرد'!N49,'برنامه خرد'!N49&amp;" + "&amp;'برنامه خرد'!O49)</f>
        <v>آسیب‌شناسی روانی + نظریه‌های روان‌درمانی پروچاسکا</v>
      </c>
      <c r="E58" s="367" t="str">
        <f>'برنامه خرد'!E49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8" s="1054" t="str">
        <f>'برنامه خرد'!G49</f>
        <v>انجام‌نشده</v>
      </c>
      <c r="G58" s="1058" t="n">
        <f>'برنامه خرد'!AB49</f>
        <v>0</v>
      </c>
      <c r="H58" s="1058" t="n">
        <f>'برنامه خرد'!AG49</f>
        <v>240</v>
      </c>
      <c r="I58" s="1061"/>
      <c r="J58" s="1064" t="str">
        <f>IF(I58="","",IFERROR(I58/H58,0))</f>
      </c>
      <c r="K58" s="1058" t="n">
        <f>'برنامه خرد'!AI49</f>
        <v>28</v>
      </c>
      <c r="L58" s="1061"/>
      <c r="M58" s="1064" t="str">
        <f>IF(OR(L58="",K58=0),"",IFERROR(L58/K58,0))</f>
      </c>
      <c r="N58" s="1058" t="n">
        <f>'برنامه خرد'!AJ49</f>
        <v>17</v>
      </c>
      <c r="O58" s="1061"/>
      <c r="P58" s="1064" t="str">
        <f>IF(O58="","",IFERROR(O58/N58,0))</f>
      </c>
      <c r="Q58" s="1061"/>
      <c r="R58" s="1061"/>
      <c r="S58" s="1061"/>
      <c r="T58" s="1042"/>
      <c r="U58" s="1042"/>
      <c r="V58" s="1042"/>
      <c r="W58" s="1064" t="str">
        <f>IF(COUNT(J58,M58,P58)=0,"",AVERAGE(J58,M58,P58))</f>
      </c>
      <c r="X58" s="680" t="str">
        <f>IF(I58="","",I58-H58)</f>
      </c>
      <c r="Y58" s="368" t="str">
        <f>IF(I58="","ثبت‌نشده",IF(W58&gt;=0.9,"مطلوب",IF(W58&gt;=0.6,"نسبی","نیازمند جبران")))</f>
        <v>ثبت‌نشده</v>
      </c>
      <c r="Z58" s="1066" t="n">
        <f>'برنامه خرد'!I49</f>
        <v>46284</v>
      </c>
      <c r="AA58" s="61" t="n">
        <f>IF(I58="",0,1)</f>
        <v>0</v>
      </c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1423"/>
      <c r="AZ58" s="1423"/>
      <c r="BA58" s="1423"/>
      <c r="BB58" s="1423"/>
      <c r="BC58" s="1423"/>
      <c r="BD58" s="1423"/>
      <c r="BE58" s="1423"/>
      <c r="BF58" s="1423"/>
      <c r="BG58" s="1423"/>
      <c r="BH58" s="1423"/>
      <c r="BI58" s="1423"/>
      <c r="BJ58" s="1423"/>
      <c r="BK58" s="1423"/>
      <c r="BL58" s="1423"/>
      <c r="BM58" s="1423"/>
    </row>
    <row r="59" ht="48" customHeight="1">
      <c r="A59" s="280" t="str">
        <f>'برنامه خرد'!A50</f>
        <v>۱۴۰۵/۰۶/۲۹</v>
      </c>
      <c r="B59" s="281" t="str">
        <f>'برنامه خرد'!B50</f>
        <v>یکشنبه</v>
      </c>
      <c r="C59" s="681" t="n">
        <f>'برنامه خرد'!K50</f>
        <v>8</v>
      </c>
      <c r="D59" s="281" t="str">
        <f>IF('برنامه خرد'!N50='برنامه خرد'!O50,'برنامه خرد'!N50,'برنامه خرد'!N50&amp;" + "&amp;'برنامه خرد'!O50)</f>
        <v>نظریه‌های روان‌درمانی پروچاسکا + روان‌شناسی رشد کرین</v>
      </c>
      <c r="E59" s="281" t="str">
        <f>'برنامه خرد'!E50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59" s="1054" t="str">
        <f>'برنامه خرد'!G50</f>
        <v>انجام‌نشده</v>
      </c>
      <c r="G59" s="1058" t="n">
        <f>'برنامه خرد'!AB50</f>
        <v>0</v>
      </c>
      <c r="H59" s="1058" t="n">
        <f>'برنامه خرد'!AG50</f>
        <v>240</v>
      </c>
      <c r="I59" s="1061"/>
      <c r="J59" s="1064" t="str">
        <f>IF(I59="","",IFERROR(I59/H59,0))</f>
      </c>
      <c r="K59" s="1058" t="n">
        <f>'برنامه خرد'!AI50</f>
        <v>33</v>
      </c>
      <c r="L59" s="1061"/>
      <c r="M59" s="1064" t="str">
        <f>IF(OR(L59="",K59=0),"",IFERROR(L59/K59,0))</f>
      </c>
      <c r="N59" s="1058" t="n">
        <f>'برنامه خرد'!AJ50</f>
        <v>17</v>
      </c>
      <c r="O59" s="1061"/>
      <c r="P59" s="1064" t="str">
        <f>IF(O59="","",IFERROR(O59/N59,0))</f>
      </c>
      <c r="Q59" s="1061"/>
      <c r="R59" s="1061"/>
      <c r="S59" s="1061"/>
      <c r="T59" s="1042"/>
      <c r="U59" s="1042"/>
      <c r="V59" s="1042"/>
      <c r="W59" s="1064" t="str">
        <f>IF(COUNT(J59,M59,P59)=0,"",AVERAGE(J59,M59,P59))</f>
      </c>
      <c r="X59" s="681" t="str">
        <f>IF(I59="","",I59-H59)</f>
      </c>
      <c r="Y59" s="282" t="str">
        <f>IF(I59="","ثبت‌نشده",IF(W59&gt;=0.9,"مطلوب",IF(W59&gt;=0.6,"نسبی","نیازمند جبران")))</f>
        <v>ثبت‌نشده</v>
      </c>
      <c r="Z59" s="1066" t="n">
        <f>'برنامه خرد'!I50</f>
        <v>46285</v>
      </c>
      <c r="AA59" s="61" t="n">
        <f>IF(I59="",0,1)</f>
        <v>0</v>
      </c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1423"/>
      <c r="AZ59" s="1423"/>
      <c r="BA59" s="1423"/>
      <c r="BB59" s="1423"/>
      <c r="BC59" s="1423"/>
      <c r="BD59" s="1423"/>
      <c r="BE59" s="1423"/>
      <c r="BF59" s="1423"/>
      <c r="BG59" s="1423"/>
      <c r="BH59" s="1423"/>
      <c r="BI59" s="1423"/>
      <c r="BJ59" s="1423"/>
      <c r="BK59" s="1423"/>
      <c r="BL59" s="1423"/>
      <c r="BM59" s="1423"/>
    </row>
    <row r="60" ht="48" customHeight="1">
      <c r="A60" s="366" t="str">
        <f>'برنامه خرد'!A51</f>
        <v>۱۴۰۵/۰۶/۳۰</v>
      </c>
      <c r="B60" s="367" t="str">
        <f>'برنامه خرد'!B51</f>
        <v>دوشنبه</v>
      </c>
      <c r="C60" s="680" t="n">
        <f>'برنامه خرد'!K51</f>
        <v>8</v>
      </c>
      <c r="D60" s="367" t="str">
        <f>IF('برنامه خرد'!N51='برنامه خرد'!O51,'برنامه خرد'!N51,'برنامه خرد'!N51&amp;" + "&amp;'برنامه خرد'!O51)</f>
        <v>آسیب‌شناسی روانی + روان‌شناسی رشد کرین</v>
      </c>
      <c r="E60" s="367" t="str">
        <f>'برنامه خرد'!E51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0" s="1054" t="str">
        <f>'برنامه خرد'!G51</f>
        <v>انجام‌نشده</v>
      </c>
      <c r="G60" s="1058" t="n">
        <f>'برنامه خرد'!AB51</f>
        <v>0</v>
      </c>
      <c r="H60" s="1058" t="n">
        <f>'برنامه خرد'!AG51</f>
        <v>240</v>
      </c>
      <c r="I60" s="1061"/>
      <c r="J60" s="1064" t="str">
        <f>IF(I60="","",IFERROR(I60/H60,0))</f>
      </c>
      <c r="K60" s="1058" t="n">
        <f>'برنامه خرد'!AI51</f>
        <v>26</v>
      </c>
      <c r="L60" s="1061"/>
      <c r="M60" s="1064" t="str">
        <f>IF(OR(L60="",K60=0),"",IFERROR(L60/K60,0))</f>
      </c>
      <c r="N60" s="1058" t="n">
        <f>'برنامه خرد'!AJ51</f>
        <v>17</v>
      </c>
      <c r="O60" s="1061"/>
      <c r="P60" s="1064" t="str">
        <f>IF(O60="","",IFERROR(O60/N60,0))</f>
      </c>
      <c r="Q60" s="1061"/>
      <c r="R60" s="1061"/>
      <c r="S60" s="1061"/>
      <c r="T60" s="1042"/>
      <c r="U60" s="1042"/>
      <c r="V60" s="1042"/>
      <c r="W60" s="1064" t="str">
        <f>IF(COUNT(J60,M60,P60)=0,"",AVERAGE(J60,M60,P60))</f>
      </c>
      <c r="X60" s="680" t="str">
        <f>IF(I60="","",I60-H60)</f>
      </c>
      <c r="Y60" s="368" t="str">
        <f>IF(I60="","ثبت‌نشده",IF(W60&gt;=0.9,"مطلوب",IF(W60&gt;=0.6,"نسبی","نیازمند جبران")))</f>
        <v>ثبت‌نشده</v>
      </c>
      <c r="Z60" s="1066" t="n">
        <f>'برنامه خرد'!I51</f>
        <v>46286</v>
      </c>
      <c r="AA60" s="61" t="n">
        <f>IF(I60="",0,1)</f>
        <v>0</v>
      </c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1423"/>
      <c r="AZ60" s="1423"/>
      <c r="BA60" s="1423"/>
      <c r="BB60" s="1423"/>
      <c r="BC60" s="1423"/>
      <c r="BD60" s="1423"/>
      <c r="BE60" s="1423"/>
      <c r="BF60" s="1423"/>
      <c r="BG60" s="1423"/>
      <c r="BH60" s="1423"/>
      <c r="BI60" s="1423"/>
      <c r="BJ60" s="1423"/>
      <c r="BK60" s="1423"/>
      <c r="BL60" s="1423"/>
      <c r="BM60" s="1423"/>
    </row>
    <row r="61" ht="48" customHeight="1">
      <c r="A61" s="280" t="str">
        <f>'برنامه خرد'!A52</f>
        <v>۱۴۰۵/۰۶/۳۱</v>
      </c>
      <c r="B61" s="281" t="str">
        <f>'برنامه خرد'!B52</f>
        <v>سه‌شنبه</v>
      </c>
      <c r="C61" s="681" t="n">
        <f>'برنامه خرد'!K52</f>
        <v>8</v>
      </c>
      <c r="D61" s="281" t="str">
        <f>IF('برنامه خرد'!N52='برنامه خرد'!O52,'برنامه خرد'!N52,'برنامه خرد'!N52&amp;" + "&amp;'برنامه خرد'!O52)</f>
        <v>روان‌شناسی رشد کرین + نظریه‌های روان‌درمانی پروچاسکا</v>
      </c>
      <c r="E61" s="281" t="str">
        <f>'برنامه خرد'!E52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1" s="1054" t="str">
        <f>'برنامه خرد'!G52</f>
        <v>انجام‌نشده</v>
      </c>
      <c r="G61" s="1058" t="n">
        <f>'برنامه خرد'!AB52</f>
        <v>0</v>
      </c>
      <c r="H61" s="1058" t="n">
        <f>'برنامه خرد'!AG52</f>
        <v>240</v>
      </c>
      <c r="I61" s="1061"/>
      <c r="J61" s="1064" t="str">
        <f>IF(I61="","",IFERROR(I61/H61,0))</f>
      </c>
      <c r="K61" s="1058" t="n">
        <f>'برنامه خرد'!AI52</f>
        <v>28</v>
      </c>
      <c r="L61" s="1061"/>
      <c r="M61" s="1064" t="str">
        <f>IF(OR(L61="",K61=0),"",IFERROR(L61/K61,0))</f>
      </c>
      <c r="N61" s="1058" t="n">
        <f>'برنامه خرد'!AJ52</f>
        <v>17</v>
      </c>
      <c r="O61" s="1061"/>
      <c r="P61" s="1064" t="str">
        <f>IF(O61="","",IFERROR(O61/N61,0))</f>
      </c>
      <c r="Q61" s="1061"/>
      <c r="R61" s="1061"/>
      <c r="S61" s="1061"/>
      <c r="T61" s="1042"/>
      <c r="U61" s="1042"/>
      <c r="V61" s="1042"/>
      <c r="W61" s="1064" t="str">
        <f>IF(COUNT(J61,M61,P61)=0,"",AVERAGE(J61,M61,P61))</f>
      </c>
      <c r="X61" s="681" t="str">
        <f>IF(I61="","",I61-H61)</f>
      </c>
      <c r="Y61" s="282" t="str">
        <f>IF(I61="","ثبت‌نشده",IF(W61&gt;=0.9,"مطلوب",IF(W61&gt;=0.6,"نسبی","نیازمند جبران")))</f>
        <v>ثبت‌نشده</v>
      </c>
      <c r="Z61" s="1066" t="n">
        <f>'برنامه خرد'!I52</f>
        <v>46287</v>
      </c>
      <c r="AA61" s="61" t="n">
        <f>IF(I61="",0,1)</f>
        <v>0</v>
      </c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1423"/>
      <c r="AZ61" s="1423"/>
      <c r="BA61" s="1423"/>
      <c r="BB61" s="1423"/>
      <c r="BC61" s="1423"/>
      <c r="BD61" s="1423"/>
      <c r="BE61" s="1423"/>
      <c r="BF61" s="1423"/>
      <c r="BG61" s="1423"/>
      <c r="BH61" s="1423"/>
      <c r="BI61" s="1423"/>
      <c r="BJ61" s="1423"/>
      <c r="BK61" s="1423"/>
      <c r="BL61" s="1423"/>
      <c r="BM61" s="1423"/>
    </row>
    <row r="62" ht="48" customHeight="1">
      <c r="A62" s="366" t="str">
        <f>'برنامه خرد'!A53</f>
        <v>۱۴۰۵/۰۷/۰۱</v>
      </c>
      <c r="B62" s="367" t="str">
        <f>'برنامه خرد'!B53</f>
        <v>چهارشنبه</v>
      </c>
      <c r="C62" s="680" t="n">
        <f>'برنامه خرد'!K53</f>
        <v>8</v>
      </c>
      <c r="D62" s="367" t="str">
        <f>IF('برنامه خرد'!N53='برنامه خرد'!O53,'برنامه خرد'!N53,'برنامه خرد'!N53&amp;" + "&amp;'برنامه خرد'!O53)</f>
        <v>نظریه‌های روان‌درمانی پروچاسکا + آسیب‌شناسی روانی</v>
      </c>
      <c r="E62" s="367" t="str">
        <f>'برنامه خرد'!E53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2" s="1054" t="str">
        <f>'برنامه خرد'!G53</f>
        <v>انجام‌نشده</v>
      </c>
      <c r="G62" s="1058" t="n">
        <f>'برنامه خرد'!AB53</f>
        <v>0</v>
      </c>
      <c r="H62" s="1058" t="n">
        <f>'برنامه خرد'!AG53</f>
        <v>240</v>
      </c>
      <c r="I62" s="1061"/>
      <c r="J62" s="1064" t="str">
        <f>IF(I62="","",IFERROR(I62/H62,0))</f>
      </c>
      <c r="K62" s="1058" t="n">
        <f>'برنامه خرد'!AI53</f>
        <v>33</v>
      </c>
      <c r="L62" s="1061"/>
      <c r="M62" s="1064" t="str">
        <f>IF(OR(L62="",K62=0),"",IFERROR(L62/K62,0))</f>
      </c>
      <c r="N62" s="1058" t="n">
        <f>'برنامه خرد'!AJ53</f>
        <v>17</v>
      </c>
      <c r="O62" s="1061"/>
      <c r="P62" s="1064" t="str">
        <f>IF(O62="","",IFERROR(O62/N62,0))</f>
      </c>
      <c r="Q62" s="1061"/>
      <c r="R62" s="1061"/>
      <c r="S62" s="1061"/>
      <c r="T62" s="1042"/>
      <c r="U62" s="1042"/>
      <c r="V62" s="1042"/>
      <c r="W62" s="1064" t="str">
        <f>IF(COUNT(J62,M62,P62)=0,"",AVERAGE(J62,M62,P62))</f>
      </c>
      <c r="X62" s="680" t="str">
        <f>IF(I62="","",I62-H62)</f>
      </c>
      <c r="Y62" s="368" t="str">
        <f>IF(I62="","ثبت‌نشده",IF(W62&gt;=0.9,"مطلوب",IF(W62&gt;=0.6,"نسبی","نیازمند جبران")))</f>
        <v>ثبت‌نشده</v>
      </c>
      <c r="Z62" s="1066" t="n">
        <f>'برنامه خرد'!I53</f>
        <v>46288</v>
      </c>
      <c r="AA62" s="61" t="n">
        <f>IF(I62="",0,1)</f>
        <v>0</v>
      </c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1423"/>
      <c r="AZ62" s="1423"/>
      <c r="BA62" s="1423"/>
      <c r="BB62" s="1423"/>
      <c r="BC62" s="1423"/>
      <c r="BD62" s="1423"/>
      <c r="BE62" s="1423"/>
      <c r="BF62" s="1423"/>
      <c r="BG62" s="1423"/>
      <c r="BH62" s="1423"/>
      <c r="BI62" s="1423"/>
      <c r="BJ62" s="1423"/>
      <c r="BK62" s="1423"/>
      <c r="BL62" s="1423"/>
      <c r="BM62" s="1423"/>
    </row>
    <row r="63" ht="48" customHeight="1">
      <c r="A63" s="280" t="str">
        <f>'برنامه خرد'!A54</f>
        <v>۱۴۰۵/۰۷/۰۲</v>
      </c>
      <c r="B63" s="281" t="str">
        <f>'برنامه خرد'!B54</f>
        <v>پنجشنبه</v>
      </c>
      <c r="C63" s="681" t="n">
        <f>'برنامه خرد'!K54</f>
        <v>8</v>
      </c>
      <c r="D63" s="281" t="str">
        <f>IF('برنامه خرد'!N54='برنامه خرد'!O54,'برنامه خرد'!N54,'برنامه خرد'!N54&amp;" + "&amp;'برنامه خرد'!O54)</f>
        <v>روان‌شناسی رشد کرین + آسیب‌شناسی روانی</v>
      </c>
      <c r="E63" s="281" t="str">
        <f>'برنامه خرد'!E54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3" s="1054" t="str">
        <f>'برنامه خرد'!G54</f>
        <v>انجام‌نشده</v>
      </c>
      <c r="G63" s="1058" t="n">
        <f>'برنامه خرد'!AB54</f>
        <v>0</v>
      </c>
      <c r="H63" s="1058" t="n">
        <f>'برنامه خرد'!AG54</f>
        <v>240</v>
      </c>
      <c r="I63" s="1061"/>
      <c r="J63" s="1064" t="str">
        <f>IF(I63="","",IFERROR(I63/H63,0))</f>
      </c>
      <c r="K63" s="1058" t="n">
        <f>'برنامه خرد'!AI54</f>
        <v>26</v>
      </c>
      <c r="L63" s="1061"/>
      <c r="M63" s="1064" t="str">
        <f>IF(OR(L63="",K63=0),"",IFERROR(L63/K63,0))</f>
      </c>
      <c r="N63" s="1058" t="n">
        <f>'برنامه خرد'!AJ54</f>
        <v>17</v>
      </c>
      <c r="O63" s="1061"/>
      <c r="P63" s="1064" t="str">
        <f>IF(O63="","",IFERROR(O63/N63,0))</f>
      </c>
      <c r="Q63" s="1061"/>
      <c r="R63" s="1061"/>
      <c r="S63" s="1061"/>
      <c r="T63" s="1042"/>
      <c r="U63" s="1042"/>
      <c r="V63" s="1042"/>
      <c r="W63" s="1064" t="str">
        <f>IF(COUNT(J63,M63,P63)=0,"",AVERAGE(J63,M63,P63))</f>
      </c>
      <c r="X63" s="681" t="str">
        <f>IF(I63="","",I63-H63)</f>
      </c>
      <c r="Y63" s="282" t="str">
        <f>IF(I63="","ثبت‌نشده",IF(W63&gt;=0.9,"مطلوب",IF(W63&gt;=0.6,"نسبی","نیازمند جبران")))</f>
        <v>ثبت‌نشده</v>
      </c>
      <c r="Z63" s="1066" t="n">
        <f>'برنامه خرد'!I54</f>
        <v>46289</v>
      </c>
      <c r="AA63" s="61" t="n">
        <f>IF(I63="",0,1)</f>
        <v>0</v>
      </c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1423"/>
      <c r="AZ63" s="1423"/>
      <c r="BA63" s="1423"/>
      <c r="BB63" s="1423"/>
      <c r="BC63" s="1423"/>
      <c r="BD63" s="1423"/>
      <c r="BE63" s="1423"/>
      <c r="BF63" s="1423"/>
      <c r="BG63" s="1423"/>
      <c r="BH63" s="1423"/>
      <c r="BI63" s="1423"/>
      <c r="BJ63" s="1423"/>
      <c r="BK63" s="1423"/>
      <c r="BL63" s="1423"/>
      <c r="BM63" s="1423"/>
    </row>
    <row r="64" ht="48" customHeight="1">
      <c r="A64" s="366" t="str">
        <f>'برنامه خرد'!A55</f>
        <v>۱۴۰۵/۰۷/۰۳</v>
      </c>
      <c r="B64" s="367" t="str">
        <f>'برنامه خرد'!B55</f>
        <v>جمعه</v>
      </c>
      <c r="C64" s="680" t="n">
        <f>'برنامه خرد'!K55</f>
        <v>8</v>
      </c>
      <c r="D64" s="367" t="str">
        <f>IF('برنامه خرد'!N55='برنامه خرد'!O55,'برنامه خرد'!N55,'برنامه خرد'!N55&amp;" + "&amp;'برنامه خرد'!O55)</f>
        <v>آسیب‌شناسی روانی</v>
      </c>
      <c r="E64" s="367" t="str">
        <f>'برنامه خرد'!E55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64" s="1054" t="str">
        <f>'برنامه خرد'!G55</f>
        <v>انجام‌نشده</v>
      </c>
      <c r="G64" s="1058" t="n">
        <f>'برنامه خرد'!AB55</f>
        <v>0</v>
      </c>
      <c r="H64" s="1058" t="n">
        <f>'برنامه خرد'!AG55</f>
        <v>240</v>
      </c>
      <c r="I64" s="1061"/>
      <c r="J64" s="1064" t="str">
        <f>IF(I64="","",IFERROR(I64/H64,0))</f>
      </c>
      <c r="K64" s="1058" t="n">
        <f>'برنامه خرد'!AI55</f>
        <v>20</v>
      </c>
      <c r="L64" s="1061"/>
      <c r="M64" s="1064" t="str">
        <f>IF(OR(L64="",K64=0),"",IFERROR(L64/K64,0))</f>
      </c>
      <c r="N64" s="1058" t="n">
        <f>'برنامه خرد'!AJ55</f>
        <v>17</v>
      </c>
      <c r="O64" s="1061"/>
      <c r="P64" s="1064" t="str">
        <f>IF(O64="","",IFERROR(O64/N64,0))</f>
      </c>
      <c r="Q64" s="1061"/>
      <c r="R64" s="1061"/>
      <c r="S64" s="1061"/>
      <c r="T64" s="1042"/>
      <c r="U64" s="1042"/>
      <c r="V64" s="1042"/>
      <c r="W64" s="1064" t="str">
        <f>IF(COUNT(J64,M64,P64)=0,"",AVERAGE(J64,M64,P64))</f>
      </c>
      <c r="X64" s="680" t="str">
        <f>IF(I64="","",I64-H64)</f>
      </c>
      <c r="Y64" s="368" t="str">
        <f>IF(I64="","ثبت‌نشده",IF(W64&gt;=0.9,"مطلوب",IF(W64&gt;=0.6,"نسبی","نیازمند جبران")))</f>
        <v>ثبت‌نشده</v>
      </c>
      <c r="Z64" s="1066" t="n">
        <f>'برنامه خرد'!I55</f>
        <v>46290</v>
      </c>
      <c r="AA64" s="61" t="n">
        <f>IF(I64="",0,1)</f>
        <v>0</v>
      </c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1423"/>
      <c r="AZ64" s="1423"/>
      <c r="BA64" s="1423"/>
      <c r="BB64" s="1423"/>
      <c r="BC64" s="1423"/>
      <c r="BD64" s="1423"/>
      <c r="BE64" s="1423"/>
      <c r="BF64" s="1423"/>
      <c r="BG64" s="1423"/>
      <c r="BH64" s="1423"/>
      <c r="BI64" s="1423"/>
      <c r="BJ64" s="1423"/>
      <c r="BK64" s="1423"/>
      <c r="BL64" s="1423"/>
      <c r="BM64" s="1423"/>
    </row>
    <row r="65" ht="48" customHeight="1">
      <c r="A65" s="280" t="str">
        <f>'برنامه خرد'!A56</f>
        <v>۱۴۰۵/۰۷/۰۴</v>
      </c>
      <c r="B65" s="281" t="str">
        <f>'برنامه خرد'!B56</f>
        <v>شنبه</v>
      </c>
      <c r="C65" s="681" t="n">
        <f>'برنامه خرد'!K56</f>
        <v>9</v>
      </c>
      <c r="D65" s="281" t="str">
        <f>IF('برنامه خرد'!N56='برنامه خرد'!O56,'برنامه خرد'!N56,'برنامه خرد'!N56&amp;" + "&amp;'برنامه خرد'!O56)</f>
        <v>نظریه‌های روان‌درمانی پروچاسکا + روان‌شناسی رشد کرین</v>
      </c>
      <c r="E65" s="281" t="str">
        <f>'برنامه خرد'!E56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5" s="1054" t="str">
        <f>'برنامه خرد'!G56</f>
        <v>انجام‌نشده</v>
      </c>
      <c r="G65" s="1058" t="n">
        <f>'برنامه خرد'!AB56</f>
        <v>0</v>
      </c>
      <c r="H65" s="1058" t="n">
        <f>'برنامه خرد'!AG56</f>
        <v>240</v>
      </c>
      <c r="I65" s="1061"/>
      <c r="J65" s="1064" t="str">
        <f>IF(I65="","",IFERROR(I65/H65,0))</f>
      </c>
      <c r="K65" s="1058" t="n">
        <f>'برنامه خرد'!AI56</f>
        <v>33</v>
      </c>
      <c r="L65" s="1061"/>
      <c r="M65" s="1064" t="str">
        <f>IF(OR(L65="",K65=0),"",IFERROR(L65/K65,0))</f>
      </c>
      <c r="N65" s="1058" t="n">
        <f>'برنامه خرد'!AJ56</f>
        <v>17</v>
      </c>
      <c r="O65" s="1061"/>
      <c r="P65" s="1064" t="str">
        <f>IF(O65="","",IFERROR(O65/N65,0))</f>
      </c>
      <c r="Q65" s="1061"/>
      <c r="R65" s="1061"/>
      <c r="S65" s="1061"/>
      <c r="T65" s="1042"/>
      <c r="U65" s="1042"/>
      <c r="V65" s="1042"/>
      <c r="W65" s="1064" t="str">
        <f>IF(COUNT(J65,M65,P65)=0,"",AVERAGE(J65,M65,P65))</f>
      </c>
      <c r="X65" s="681" t="str">
        <f>IF(I65="","",I65-H65)</f>
      </c>
      <c r="Y65" s="282" t="str">
        <f>IF(I65="","ثبت‌نشده",IF(W65&gt;=0.9,"مطلوب",IF(W65&gt;=0.6,"نسبی","نیازمند جبران")))</f>
        <v>ثبت‌نشده</v>
      </c>
      <c r="Z65" s="1066" t="n">
        <f>'برنامه خرد'!I56</f>
        <v>46291</v>
      </c>
      <c r="AA65" s="61" t="n">
        <f>IF(I65="",0,1)</f>
        <v>0</v>
      </c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1423"/>
      <c r="AZ65" s="1423"/>
      <c r="BA65" s="1423"/>
      <c r="BB65" s="1423"/>
      <c r="BC65" s="1423"/>
      <c r="BD65" s="1423"/>
      <c r="BE65" s="1423"/>
      <c r="BF65" s="1423"/>
      <c r="BG65" s="1423"/>
      <c r="BH65" s="1423"/>
      <c r="BI65" s="1423"/>
      <c r="BJ65" s="1423"/>
      <c r="BK65" s="1423"/>
      <c r="BL65" s="1423"/>
      <c r="BM65" s="1423"/>
    </row>
    <row r="66" ht="48" customHeight="1">
      <c r="A66" s="366" t="str">
        <f>'برنامه خرد'!A57</f>
        <v>۱۴۰۵/۰۷/۰۵</v>
      </c>
      <c r="B66" s="367" t="str">
        <f>'برنامه خرد'!B57</f>
        <v>یکشنبه</v>
      </c>
      <c r="C66" s="680" t="n">
        <f>'برنامه خرد'!K57</f>
        <v>9</v>
      </c>
      <c r="D66" s="367" t="str">
        <f>IF('برنامه خرد'!N57='برنامه خرد'!O57,'برنامه خرد'!N57,'برنامه خرد'!N57&amp;" + "&amp;'برنامه خرد'!O57)</f>
        <v>آسیب‌شناسی روانی + روان‌شناسی رشد کرین</v>
      </c>
      <c r="E66" s="367" t="str">
        <f>'برنامه خرد'!E57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6" s="1054" t="str">
        <f>'برنامه خرد'!G57</f>
        <v>انجام‌نشده</v>
      </c>
      <c r="G66" s="1058" t="n">
        <f>'برنامه خرد'!AB57</f>
        <v>0</v>
      </c>
      <c r="H66" s="1058" t="n">
        <f>'برنامه خرد'!AG57</f>
        <v>240</v>
      </c>
      <c r="I66" s="1061"/>
      <c r="J66" s="1064" t="str">
        <f>IF(I66="","",IFERROR(I66/H66,0))</f>
      </c>
      <c r="K66" s="1058" t="n">
        <f>'برنامه خرد'!AI57</f>
        <v>26</v>
      </c>
      <c r="L66" s="1061"/>
      <c r="M66" s="1064" t="str">
        <f>IF(OR(L66="",K66=0),"",IFERROR(L66/K66,0))</f>
      </c>
      <c r="N66" s="1058" t="n">
        <f>'برنامه خرد'!AJ57</f>
        <v>17</v>
      </c>
      <c r="O66" s="1061"/>
      <c r="P66" s="1064" t="str">
        <f>IF(O66="","",IFERROR(O66/N66,0))</f>
      </c>
      <c r="Q66" s="1061"/>
      <c r="R66" s="1061"/>
      <c r="S66" s="1061"/>
      <c r="T66" s="1042"/>
      <c r="U66" s="1042"/>
      <c r="V66" s="1042"/>
      <c r="W66" s="1064" t="str">
        <f>IF(COUNT(J66,M66,P66)=0,"",AVERAGE(J66,M66,P66))</f>
      </c>
      <c r="X66" s="680" t="str">
        <f>IF(I66="","",I66-H66)</f>
      </c>
      <c r="Y66" s="368" t="str">
        <f>IF(I66="","ثبت‌نشده",IF(W66&gt;=0.9,"مطلوب",IF(W66&gt;=0.6,"نسبی","نیازمند جبران")))</f>
        <v>ثبت‌نشده</v>
      </c>
      <c r="Z66" s="1066" t="n">
        <f>'برنامه خرد'!I57</f>
        <v>46292</v>
      </c>
      <c r="AA66" s="61" t="n">
        <f>IF(I66="",0,1)</f>
        <v>0</v>
      </c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1423"/>
      <c r="AZ66" s="1423"/>
      <c r="BA66" s="1423"/>
      <c r="BB66" s="1423"/>
      <c r="BC66" s="1423"/>
      <c r="BD66" s="1423"/>
      <c r="BE66" s="1423"/>
      <c r="BF66" s="1423"/>
      <c r="BG66" s="1423"/>
      <c r="BH66" s="1423"/>
      <c r="BI66" s="1423"/>
      <c r="BJ66" s="1423"/>
      <c r="BK66" s="1423"/>
      <c r="BL66" s="1423"/>
      <c r="BM66" s="1423"/>
    </row>
    <row r="67" ht="48" customHeight="1">
      <c r="A67" s="280" t="str">
        <f>'برنامه خرد'!A58</f>
        <v>۱۴۰۵/۰۷/۰۶</v>
      </c>
      <c r="B67" s="281" t="str">
        <f>'برنامه خرد'!B58</f>
        <v>دوشنبه</v>
      </c>
      <c r="C67" s="681" t="n">
        <f>'برنامه خرد'!K58</f>
        <v>9</v>
      </c>
      <c r="D67" s="281" t="str">
        <f>IF('برنامه خرد'!N58='برنامه خرد'!O58,'برنامه خرد'!N58,'برنامه خرد'!N58&amp;" + "&amp;'برنامه خرد'!O58)</f>
        <v>نظریه‌های روان‌درمانی پروچاسکا + روان‌شناسی رشد کرین</v>
      </c>
      <c r="E67" s="281" t="str">
        <f>'برنامه خرد'!E58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7" s="1054" t="str">
        <f>'برنامه خرد'!G58</f>
        <v>انجام‌نشده</v>
      </c>
      <c r="G67" s="1058" t="n">
        <f>'برنامه خرد'!AB58</f>
        <v>0</v>
      </c>
      <c r="H67" s="1058" t="n">
        <f>'برنامه خرد'!AG58</f>
        <v>240</v>
      </c>
      <c r="I67" s="1061"/>
      <c r="J67" s="1064" t="str">
        <f>IF(I67="","",IFERROR(I67/H67,0))</f>
      </c>
      <c r="K67" s="1058" t="n">
        <f>'برنامه خرد'!AI58</f>
        <v>33</v>
      </c>
      <c r="L67" s="1061"/>
      <c r="M67" s="1064" t="str">
        <f>IF(OR(L67="",K67=0),"",IFERROR(L67/K67,0))</f>
      </c>
      <c r="N67" s="1058" t="n">
        <f>'برنامه خرد'!AJ58</f>
        <v>17</v>
      </c>
      <c r="O67" s="1061"/>
      <c r="P67" s="1064" t="str">
        <f>IF(O67="","",IFERROR(O67/N67,0))</f>
      </c>
      <c r="Q67" s="1061"/>
      <c r="R67" s="1061"/>
      <c r="S67" s="1061"/>
      <c r="T67" s="1042"/>
      <c r="U67" s="1042"/>
      <c r="V67" s="1042"/>
      <c r="W67" s="1064" t="str">
        <f>IF(COUNT(J67,M67,P67)=0,"",AVERAGE(J67,M67,P67))</f>
      </c>
      <c r="X67" s="681" t="str">
        <f>IF(I67="","",I67-H67)</f>
      </c>
      <c r="Y67" s="282" t="str">
        <f>IF(I67="","ثبت‌نشده",IF(W67&gt;=0.9,"مطلوب",IF(W67&gt;=0.6,"نسبی","نیازمند جبران")))</f>
        <v>ثبت‌نشده</v>
      </c>
      <c r="Z67" s="1066" t="n">
        <f>'برنامه خرد'!I58</f>
        <v>46293</v>
      </c>
      <c r="AA67" s="61" t="n">
        <f>IF(I67="",0,1)</f>
        <v>0</v>
      </c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1423"/>
      <c r="AZ67" s="1423"/>
      <c r="BA67" s="1423"/>
      <c r="BB67" s="1423"/>
      <c r="BC67" s="1423"/>
      <c r="BD67" s="1423"/>
      <c r="BE67" s="1423"/>
      <c r="BF67" s="1423"/>
      <c r="BG67" s="1423"/>
      <c r="BH67" s="1423"/>
      <c r="BI67" s="1423"/>
      <c r="BJ67" s="1423"/>
      <c r="BK67" s="1423"/>
      <c r="BL67" s="1423"/>
      <c r="BM67" s="1423"/>
    </row>
    <row r="68" ht="48" customHeight="1">
      <c r="A68" s="366" t="str">
        <f>'برنامه خرد'!A59</f>
        <v>۱۴۰۵/۰۷/۰۷</v>
      </c>
      <c r="B68" s="367" t="str">
        <f>'برنامه خرد'!B59</f>
        <v>سه‌شنبه</v>
      </c>
      <c r="C68" s="680" t="n">
        <f>'برنامه خرد'!K59</f>
        <v>9</v>
      </c>
      <c r="D68" s="367" t="str">
        <f>IF('برنامه خرد'!N59='برنامه خرد'!O59,'برنامه خرد'!N59,'برنامه خرد'!N59&amp;" + "&amp;'برنامه خرد'!O59)</f>
        <v>روان‌شناسی رشد کرین + آسیب‌شناسی روانی</v>
      </c>
      <c r="E68" s="367" t="str">
        <f>'برنامه خرد'!E59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8" s="1054" t="str">
        <f>'برنامه خرد'!G59</f>
        <v>انجام‌نشده</v>
      </c>
      <c r="G68" s="1058" t="n">
        <f>'برنامه خرد'!AB59</f>
        <v>0</v>
      </c>
      <c r="H68" s="1058" t="n">
        <f>'برنامه خرد'!AG59</f>
        <v>240</v>
      </c>
      <c r="I68" s="1061"/>
      <c r="J68" s="1064" t="str">
        <f>IF(I68="","",IFERROR(I68/H68,0))</f>
      </c>
      <c r="K68" s="1058" t="n">
        <f>'برنامه خرد'!AI59</f>
        <v>26</v>
      </c>
      <c r="L68" s="1061"/>
      <c r="M68" s="1064" t="str">
        <f>IF(OR(L68="",K68=0),"",IFERROR(L68/K68,0))</f>
      </c>
      <c r="N68" s="1058" t="n">
        <f>'برنامه خرد'!AJ59</f>
        <v>17</v>
      </c>
      <c r="O68" s="1061"/>
      <c r="P68" s="1064" t="str">
        <f>IF(O68="","",IFERROR(O68/N68,0))</f>
      </c>
      <c r="Q68" s="1061"/>
      <c r="R68" s="1061"/>
      <c r="S68" s="1061"/>
      <c r="T68" s="1042"/>
      <c r="U68" s="1042"/>
      <c r="V68" s="1042"/>
      <c r="W68" s="1064" t="str">
        <f>IF(COUNT(J68,M68,P68)=0,"",AVERAGE(J68,M68,P68))</f>
      </c>
      <c r="X68" s="680" t="str">
        <f>IF(I68="","",I68-H68)</f>
      </c>
      <c r="Y68" s="368" t="str">
        <f>IF(I68="","ثبت‌نشده",IF(W68&gt;=0.9,"مطلوب",IF(W68&gt;=0.6,"نسبی","نیازمند جبران")))</f>
        <v>ثبت‌نشده</v>
      </c>
      <c r="Z68" s="1066" t="n">
        <f>'برنامه خرد'!I59</f>
        <v>46294</v>
      </c>
      <c r="AA68" s="61" t="n">
        <f>IF(I68="",0,1)</f>
        <v>0</v>
      </c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1423"/>
      <c r="AZ68" s="1423"/>
      <c r="BA68" s="1423"/>
      <c r="BB68" s="1423"/>
      <c r="BC68" s="1423"/>
      <c r="BD68" s="1423"/>
      <c r="BE68" s="1423"/>
      <c r="BF68" s="1423"/>
      <c r="BG68" s="1423"/>
      <c r="BH68" s="1423"/>
      <c r="BI68" s="1423"/>
      <c r="BJ68" s="1423"/>
      <c r="BK68" s="1423"/>
      <c r="BL68" s="1423"/>
      <c r="BM68" s="1423"/>
    </row>
    <row r="69" ht="48" customHeight="1">
      <c r="A69" s="280" t="str">
        <f>'برنامه خرد'!A60</f>
        <v>۱۴۰۵/۰۷/۰۸</v>
      </c>
      <c r="B69" s="281" t="str">
        <f>'برنامه خرد'!B60</f>
        <v>چهارشنبه</v>
      </c>
      <c r="C69" s="681" t="n">
        <f>'برنامه خرد'!K60</f>
        <v>9</v>
      </c>
      <c r="D69" s="281" t="str">
        <f>IF('برنامه خرد'!N60='برنامه خرد'!O60,'برنامه خرد'!N60,'برنامه خرد'!N60&amp;" + "&amp;'برنامه خرد'!O60)</f>
        <v>نظریه‌های روان‌درمانی پروچاسکا + آسیب‌شناسی روانی</v>
      </c>
      <c r="E69" s="281" t="str">
        <f>'برنامه خرد'!E60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69" s="1054" t="str">
        <f>'برنامه خرد'!G60</f>
        <v>انجام‌نشده</v>
      </c>
      <c r="G69" s="1058" t="n">
        <f>'برنامه خرد'!AB60</f>
        <v>0</v>
      </c>
      <c r="H69" s="1058" t="n">
        <f>'برنامه خرد'!AG60</f>
        <v>240</v>
      </c>
      <c r="I69" s="1061"/>
      <c r="J69" s="1064" t="str">
        <f>IF(I69="","",IFERROR(I69/H69,0))</f>
      </c>
      <c r="K69" s="1058" t="n">
        <f>'برنامه خرد'!AI60</f>
        <v>33</v>
      </c>
      <c r="L69" s="1061"/>
      <c r="M69" s="1064" t="str">
        <f>IF(OR(L69="",K69=0),"",IFERROR(L69/K69,0))</f>
      </c>
      <c r="N69" s="1058" t="n">
        <f>'برنامه خرد'!AJ60</f>
        <v>17</v>
      </c>
      <c r="O69" s="1061"/>
      <c r="P69" s="1064" t="str">
        <f>IF(O69="","",IFERROR(O69/N69,0))</f>
      </c>
      <c r="Q69" s="1061"/>
      <c r="R69" s="1061"/>
      <c r="S69" s="1061"/>
      <c r="T69" s="1042"/>
      <c r="U69" s="1042"/>
      <c r="V69" s="1042"/>
      <c r="W69" s="1064" t="str">
        <f>IF(COUNT(J69,M69,P69)=0,"",AVERAGE(J69,M69,P69))</f>
      </c>
      <c r="X69" s="681" t="str">
        <f>IF(I69="","",I69-H69)</f>
      </c>
      <c r="Y69" s="282" t="str">
        <f>IF(I69="","ثبت‌نشده",IF(W69&gt;=0.9,"مطلوب",IF(W69&gt;=0.6,"نسبی","نیازمند جبران")))</f>
        <v>ثبت‌نشده</v>
      </c>
      <c r="Z69" s="1066" t="n">
        <f>'برنامه خرد'!I60</f>
        <v>46295</v>
      </c>
      <c r="AA69" s="61" t="n">
        <f>IF(I69="",0,1)</f>
        <v>0</v>
      </c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1423"/>
      <c r="AZ69" s="1423"/>
      <c r="BA69" s="1423"/>
      <c r="BB69" s="1423"/>
      <c r="BC69" s="1423"/>
      <c r="BD69" s="1423"/>
      <c r="BE69" s="1423"/>
      <c r="BF69" s="1423"/>
      <c r="BG69" s="1423"/>
      <c r="BH69" s="1423"/>
      <c r="BI69" s="1423"/>
      <c r="BJ69" s="1423"/>
      <c r="BK69" s="1423"/>
      <c r="BL69" s="1423"/>
      <c r="BM69" s="1423"/>
    </row>
    <row r="70" ht="48" customHeight="1">
      <c r="A70" s="366" t="str">
        <f>'برنامه خرد'!A61</f>
        <v>۱۴۰۵/۰۷/۰۹</v>
      </c>
      <c r="B70" s="367" t="str">
        <f>'برنامه خرد'!B61</f>
        <v>پنجشنبه</v>
      </c>
      <c r="C70" s="680" t="n">
        <f>'برنامه خرد'!K61</f>
        <v>9</v>
      </c>
      <c r="D70" s="367" t="str">
        <f>IF('برنامه خرد'!N61='برنامه خرد'!O61,'برنامه خرد'!N61,'برنامه خرد'!N61&amp;" + "&amp;'برنامه خرد'!O61)</f>
        <v>روان‌شناسی رشد کرین + آسیب‌شناسی روانی</v>
      </c>
      <c r="E70" s="367" t="str">
        <f>'برنامه خرد'!E61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0" s="1054" t="str">
        <f>'برنامه خرد'!G61</f>
        <v>انجام‌نشده</v>
      </c>
      <c r="G70" s="1058" t="n">
        <f>'برنامه خرد'!AB61</f>
        <v>0</v>
      </c>
      <c r="H70" s="1058" t="n">
        <f>'برنامه خرد'!AG61</f>
        <v>240</v>
      </c>
      <c r="I70" s="1061"/>
      <c r="J70" s="1064" t="str">
        <f>IF(I70="","",IFERROR(I70/H70,0))</f>
      </c>
      <c r="K70" s="1058" t="n">
        <f>'برنامه خرد'!AI61</f>
        <v>26</v>
      </c>
      <c r="L70" s="1061"/>
      <c r="M70" s="1064" t="str">
        <f>IF(OR(L70="",K70=0),"",IFERROR(L70/K70,0))</f>
      </c>
      <c r="N70" s="1058" t="n">
        <f>'برنامه خرد'!AJ61</f>
        <v>17</v>
      </c>
      <c r="O70" s="1061"/>
      <c r="P70" s="1064" t="str">
        <f>IF(O70="","",IFERROR(O70/N70,0))</f>
      </c>
      <c r="Q70" s="1061"/>
      <c r="R70" s="1061"/>
      <c r="S70" s="1061"/>
      <c r="T70" s="1042"/>
      <c r="U70" s="1042"/>
      <c r="V70" s="1042"/>
      <c r="W70" s="1064" t="str">
        <f>IF(COUNT(J70,M70,P70)=0,"",AVERAGE(J70,M70,P70))</f>
      </c>
      <c r="X70" s="680" t="str">
        <f>IF(I70="","",I70-H70)</f>
      </c>
      <c r="Y70" s="368" t="str">
        <f>IF(I70="","ثبت‌نشده",IF(W70&gt;=0.9,"مطلوب",IF(W70&gt;=0.6,"نسبی","نیازمند جبران")))</f>
        <v>ثبت‌نشده</v>
      </c>
      <c r="Z70" s="1066" t="n">
        <f>'برنامه خرد'!I61</f>
        <v>46296</v>
      </c>
      <c r="AA70" s="61" t="n">
        <f>IF(I70="",0,1)</f>
        <v>0</v>
      </c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1423"/>
      <c r="AZ70" s="1423"/>
      <c r="BA70" s="1423"/>
      <c r="BB70" s="1423"/>
      <c r="BC70" s="1423"/>
      <c r="BD70" s="1423"/>
      <c r="BE70" s="1423"/>
      <c r="BF70" s="1423"/>
      <c r="BG70" s="1423"/>
      <c r="BH70" s="1423"/>
      <c r="BI70" s="1423"/>
      <c r="BJ70" s="1423"/>
      <c r="BK70" s="1423"/>
      <c r="BL70" s="1423"/>
      <c r="BM70" s="1423"/>
    </row>
    <row r="71" ht="48" customHeight="1">
      <c r="A71" s="280" t="str">
        <f>'برنامه خرد'!A62</f>
        <v>۱۴۰۵/۰۷/۱۰</v>
      </c>
      <c r="B71" s="281" t="str">
        <f>'برنامه خرد'!B62</f>
        <v>جمعه</v>
      </c>
      <c r="C71" s="681" t="n">
        <f>'برنامه خرد'!K62</f>
        <v>9</v>
      </c>
      <c r="D71" s="281" t="str">
        <f>IF('برنامه خرد'!N62='برنامه خرد'!O62,'برنامه خرد'!N62,'برنامه خرد'!N62&amp;" + "&amp;'برنامه خرد'!O62)</f>
        <v>آسیب‌شناسی روانی</v>
      </c>
      <c r="E71" s="281" t="str">
        <f>'برنامه خرد'!E62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71" s="1054" t="str">
        <f>'برنامه خرد'!G62</f>
        <v>انجام‌نشده</v>
      </c>
      <c r="G71" s="1058" t="n">
        <f>'برنامه خرد'!AB62</f>
        <v>0</v>
      </c>
      <c r="H71" s="1058" t="n">
        <f>'برنامه خرد'!AG62</f>
        <v>240</v>
      </c>
      <c r="I71" s="1061"/>
      <c r="J71" s="1064" t="str">
        <f>IF(I71="","",IFERROR(I71/H71,0))</f>
      </c>
      <c r="K71" s="1058" t="n">
        <f>'برنامه خرد'!AI62</f>
        <v>20</v>
      </c>
      <c r="L71" s="1061"/>
      <c r="M71" s="1064" t="str">
        <f>IF(OR(L71="",K71=0),"",IFERROR(L71/K71,0))</f>
      </c>
      <c r="N71" s="1058" t="n">
        <f>'برنامه خرد'!AJ62</f>
        <v>17</v>
      </c>
      <c r="O71" s="1061"/>
      <c r="P71" s="1064" t="str">
        <f>IF(O71="","",IFERROR(O71/N71,0))</f>
      </c>
      <c r="Q71" s="1061"/>
      <c r="R71" s="1061"/>
      <c r="S71" s="1061"/>
      <c r="T71" s="1042"/>
      <c r="U71" s="1042"/>
      <c r="V71" s="1042"/>
      <c r="W71" s="1064" t="str">
        <f>IF(COUNT(J71,M71,P71)=0,"",AVERAGE(J71,M71,P71))</f>
      </c>
      <c r="X71" s="681" t="str">
        <f>IF(I71="","",I71-H71)</f>
      </c>
      <c r="Y71" s="282" t="str">
        <f>IF(I71="","ثبت‌نشده",IF(W71&gt;=0.9,"مطلوب",IF(W71&gt;=0.6,"نسبی","نیازمند جبران")))</f>
        <v>ثبت‌نشده</v>
      </c>
      <c r="Z71" s="1066" t="n">
        <f>'برنامه خرد'!I62</f>
        <v>46297</v>
      </c>
      <c r="AA71" s="61" t="n">
        <f>IF(I71="",0,1)</f>
        <v>0</v>
      </c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1423"/>
      <c r="AZ71" s="1423"/>
      <c r="BA71" s="1423"/>
      <c r="BB71" s="1423"/>
      <c r="BC71" s="1423"/>
      <c r="BD71" s="1423"/>
      <c r="BE71" s="1423"/>
      <c r="BF71" s="1423"/>
      <c r="BG71" s="1423"/>
      <c r="BH71" s="1423"/>
      <c r="BI71" s="1423"/>
      <c r="BJ71" s="1423"/>
      <c r="BK71" s="1423"/>
      <c r="BL71" s="1423"/>
      <c r="BM71" s="1423"/>
    </row>
    <row r="72" ht="48" customHeight="1">
      <c r="A72" s="366" t="str">
        <f>'برنامه خرد'!A63</f>
        <v>۱۴۰۵/۰۷/۱۱</v>
      </c>
      <c r="B72" s="367" t="str">
        <f>'برنامه خرد'!B63</f>
        <v>شنبه</v>
      </c>
      <c r="C72" s="680" t="n">
        <f>'برنامه خرد'!K63</f>
        <v>10</v>
      </c>
      <c r="D72" s="367" t="str">
        <f>IF('برنامه خرد'!N63='برنامه خرد'!O63,'برنامه خرد'!N63,'برنامه خرد'!N63&amp;" + "&amp;'برنامه خرد'!O63)</f>
        <v>نظریه‌های روان‌درمانی پروچاسکا + روان‌شناسی رشد کرین</v>
      </c>
      <c r="E72" s="367" t="str">
        <f>'برنامه خرد'!E63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2" s="1054" t="str">
        <f>'برنامه خرد'!G63</f>
        <v>انجام‌نشده</v>
      </c>
      <c r="G72" s="1058" t="n">
        <f>'برنامه خرد'!AB63</f>
        <v>0</v>
      </c>
      <c r="H72" s="1058" t="n">
        <f>'برنامه خرد'!AG63</f>
        <v>240</v>
      </c>
      <c r="I72" s="1061"/>
      <c r="J72" s="1064" t="str">
        <f>IF(I72="","",IFERROR(I72/H72,0))</f>
      </c>
      <c r="K72" s="1058" t="n">
        <f>'برنامه خرد'!AI63</f>
        <v>33</v>
      </c>
      <c r="L72" s="1061"/>
      <c r="M72" s="1064" t="str">
        <f>IF(OR(L72="",K72=0),"",IFERROR(L72/K72,0))</f>
      </c>
      <c r="N72" s="1058" t="n">
        <f>'برنامه خرد'!AJ63</f>
        <v>17</v>
      </c>
      <c r="O72" s="1061"/>
      <c r="P72" s="1064" t="str">
        <f>IF(O72="","",IFERROR(O72/N72,0))</f>
      </c>
      <c r="Q72" s="1061"/>
      <c r="R72" s="1061"/>
      <c r="S72" s="1061"/>
      <c r="T72" s="1042"/>
      <c r="U72" s="1042"/>
      <c r="V72" s="1042"/>
      <c r="W72" s="1064" t="str">
        <f>IF(COUNT(J72,M72,P72)=0,"",AVERAGE(J72,M72,P72))</f>
      </c>
      <c r="X72" s="680" t="str">
        <f>IF(I72="","",I72-H72)</f>
      </c>
      <c r="Y72" s="368" t="str">
        <f>IF(I72="","ثبت‌نشده",IF(W72&gt;=0.9,"مطلوب",IF(W72&gt;=0.6,"نسبی","نیازمند جبران")))</f>
        <v>ثبت‌نشده</v>
      </c>
      <c r="Z72" s="1066" t="n">
        <f>'برنامه خرد'!I63</f>
        <v>46298</v>
      </c>
      <c r="AA72" s="61" t="n">
        <f>IF(I72="",0,1)</f>
        <v>0</v>
      </c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1423"/>
      <c r="AZ72" s="1423"/>
      <c r="BA72" s="1423"/>
      <c r="BB72" s="1423"/>
      <c r="BC72" s="1423"/>
      <c r="BD72" s="1423"/>
      <c r="BE72" s="1423"/>
      <c r="BF72" s="1423"/>
      <c r="BG72" s="1423"/>
      <c r="BH72" s="1423"/>
      <c r="BI72" s="1423"/>
      <c r="BJ72" s="1423"/>
      <c r="BK72" s="1423"/>
      <c r="BL72" s="1423"/>
      <c r="BM72" s="1423"/>
    </row>
    <row r="73" ht="48" customHeight="1">
      <c r="A73" s="280" t="str">
        <f>'برنامه خرد'!A64</f>
        <v>۱۴۰۵/۰۷/۱۲</v>
      </c>
      <c r="B73" s="281" t="str">
        <f>'برنامه خرد'!B64</f>
        <v>یکشنبه</v>
      </c>
      <c r="C73" s="681" t="n">
        <f>'برنامه خرد'!K64</f>
        <v>10</v>
      </c>
      <c r="D73" s="281" t="str">
        <f>IF('برنامه خرد'!N64='برنامه خرد'!O64,'برنامه خرد'!N64,'برنامه خرد'!N64&amp;" + "&amp;'برنامه خرد'!O64)</f>
        <v>آسیب‌شناسی روانی + روان‌شناسی رشد کرین</v>
      </c>
      <c r="E73" s="281" t="str">
        <f>'برنامه خرد'!E64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3" s="1054" t="str">
        <f>'برنامه خرد'!G64</f>
        <v>انجام‌نشده</v>
      </c>
      <c r="G73" s="1058" t="n">
        <f>'برنامه خرد'!AB64</f>
        <v>0</v>
      </c>
      <c r="H73" s="1058" t="n">
        <f>'برنامه خرد'!AG64</f>
        <v>240</v>
      </c>
      <c r="I73" s="1061"/>
      <c r="J73" s="1064" t="str">
        <f>IF(I73="","",IFERROR(I73/H73,0))</f>
      </c>
      <c r="K73" s="1058" t="n">
        <f>'برنامه خرد'!AI64</f>
        <v>26</v>
      </c>
      <c r="L73" s="1061"/>
      <c r="M73" s="1064" t="str">
        <f>IF(OR(L73="",K73=0),"",IFERROR(L73/K73,0))</f>
      </c>
      <c r="N73" s="1058" t="n">
        <f>'برنامه خرد'!AJ64</f>
        <v>17</v>
      </c>
      <c r="O73" s="1061"/>
      <c r="P73" s="1064" t="str">
        <f>IF(O73="","",IFERROR(O73/N73,0))</f>
      </c>
      <c r="Q73" s="1061"/>
      <c r="R73" s="1061"/>
      <c r="S73" s="1061"/>
      <c r="T73" s="1042"/>
      <c r="U73" s="1042"/>
      <c r="V73" s="1042"/>
      <c r="W73" s="1064" t="str">
        <f>IF(COUNT(J73,M73,P73)=0,"",AVERAGE(J73,M73,P73))</f>
      </c>
      <c r="X73" s="681" t="str">
        <f>IF(I73="","",I73-H73)</f>
      </c>
      <c r="Y73" s="282" t="str">
        <f>IF(I73="","ثبت‌نشده",IF(W73&gt;=0.9,"مطلوب",IF(W73&gt;=0.6,"نسبی","نیازمند جبران")))</f>
        <v>ثبت‌نشده</v>
      </c>
      <c r="Z73" s="1066" t="n">
        <f>'برنامه خرد'!I64</f>
        <v>46299</v>
      </c>
      <c r="AA73" s="61" t="n">
        <f>IF(I73="",0,1)</f>
        <v>0</v>
      </c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1423"/>
      <c r="AZ73" s="1423"/>
      <c r="BA73" s="1423"/>
      <c r="BB73" s="1423"/>
      <c r="BC73" s="1423"/>
      <c r="BD73" s="1423"/>
      <c r="BE73" s="1423"/>
      <c r="BF73" s="1423"/>
      <c r="BG73" s="1423"/>
      <c r="BH73" s="1423"/>
      <c r="BI73" s="1423"/>
      <c r="BJ73" s="1423"/>
      <c r="BK73" s="1423"/>
      <c r="BL73" s="1423"/>
      <c r="BM73" s="1423"/>
    </row>
    <row r="74" ht="48" customHeight="1">
      <c r="A74" s="366" t="str">
        <f>'برنامه خرد'!A65</f>
        <v>۱۴۰۵/۰۷/۱۳</v>
      </c>
      <c r="B74" s="367" t="str">
        <f>'برنامه خرد'!B65</f>
        <v>دوشنبه</v>
      </c>
      <c r="C74" s="680" t="n">
        <f>'برنامه خرد'!K65</f>
        <v>10</v>
      </c>
      <c r="D74" s="367" t="str">
        <f>IF('برنامه خرد'!N65='برنامه خرد'!O65,'برنامه خرد'!N65,'برنامه خرد'!N65&amp;" + "&amp;'برنامه خرد'!O65)</f>
        <v>نظریه‌های روان‌درمانی پروچاسکا + روان‌شناسی رشد کرین</v>
      </c>
      <c r="E74" s="367" t="str">
        <f>'برنامه خرد'!E65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4" s="1054" t="str">
        <f>'برنامه خرد'!G65</f>
        <v>انجام‌نشده</v>
      </c>
      <c r="G74" s="1058" t="n">
        <f>'برنامه خرد'!AB65</f>
        <v>0</v>
      </c>
      <c r="H74" s="1058" t="n">
        <f>'برنامه خرد'!AG65</f>
        <v>240</v>
      </c>
      <c r="I74" s="1061"/>
      <c r="J74" s="1064" t="str">
        <f>IF(I74="","",IFERROR(I74/H74,0))</f>
      </c>
      <c r="K74" s="1058" t="n">
        <f>'برنامه خرد'!AI65</f>
        <v>33</v>
      </c>
      <c r="L74" s="1061"/>
      <c r="M74" s="1064" t="str">
        <f>IF(OR(L74="",K74=0),"",IFERROR(L74/K74,0))</f>
      </c>
      <c r="N74" s="1058" t="n">
        <f>'برنامه خرد'!AJ65</f>
        <v>17</v>
      </c>
      <c r="O74" s="1061"/>
      <c r="P74" s="1064" t="str">
        <f>IF(O74="","",IFERROR(O74/N74,0))</f>
      </c>
      <c r="Q74" s="1061"/>
      <c r="R74" s="1061"/>
      <c r="S74" s="1061"/>
      <c r="T74" s="1042"/>
      <c r="U74" s="1042"/>
      <c r="V74" s="1042"/>
      <c r="W74" s="1064" t="str">
        <f>IF(COUNT(J74,M74,P74)=0,"",AVERAGE(J74,M74,P74))</f>
      </c>
      <c r="X74" s="680" t="str">
        <f>IF(I74="","",I74-H74)</f>
      </c>
      <c r="Y74" s="368" t="str">
        <f>IF(I74="","ثبت‌نشده",IF(W74&gt;=0.9,"مطلوب",IF(W74&gt;=0.6,"نسبی","نیازمند جبران")))</f>
        <v>ثبت‌نشده</v>
      </c>
      <c r="Z74" s="1066" t="n">
        <f>'برنامه خرد'!I65</f>
        <v>46300</v>
      </c>
      <c r="AA74" s="61" t="n">
        <f>IF(I74="",0,1)</f>
        <v>0</v>
      </c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1423"/>
      <c r="AZ74" s="1423"/>
      <c r="BA74" s="1423"/>
      <c r="BB74" s="1423"/>
      <c r="BC74" s="1423"/>
      <c r="BD74" s="1423"/>
      <c r="BE74" s="1423"/>
      <c r="BF74" s="1423"/>
      <c r="BG74" s="1423"/>
      <c r="BH74" s="1423"/>
      <c r="BI74" s="1423"/>
      <c r="BJ74" s="1423"/>
      <c r="BK74" s="1423"/>
      <c r="BL74" s="1423"/>
      <c r="BM74" s="1423"/>
    </row>
    <row r="75" ht="48" customHeight="1">
      <c r="A75" s="280" t="str">
        <f>'برنامه خرد'!A66</f>
        <v>۱۴۰۵/۰۷/۱۴</v>
      </c>
      <c r="B75" s="281" t="str">
        <f>'برنامه خرد'!B66</f>
        <v>سه‌شنبه</v>
      </c>
      <c r="C75" s="681" t="n">
        <f>'برنامه خرد'!K66</f>
        <v>10</v>
      </c>
      <c r="D75" s="281" t="str">
        <f>IF('برنامه خرد'!N66='برنامه خرد'!O66,'برنامه خرد'!N66,'برنامه خرد'!N66&amp;" + "&amp;'برنامه خرد'!O66)</f>
        <v>روان‌شناسی رشد کرین + آسیب‌شناسی روانی</v>
      </c>
      <c r="E75" s="281" t="str">
        <f>'برنامه خرد'!E66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5" s="1054" t="str">
        <f>'برنامه خرد'!G66</f>
        <v>انجام‌نشده</v>
      </c>
      <c r="G75" s="1058" t="n">
        <f>'برنامه خرد'!AB66</f>
        <v>0</v>
      </c>
      <c r="H75" s="1058" t="n">
        <f>'برنامه خرد'!AG66</f>
        <v>240</v>
      </c>
      <c r="I75" s="1061"/>
      <c r="J75" s="1064" t="str">
        <f>IF(I75="","",IFERROR(I75/H75,0))</f>
      </c>
      <c r="K75" s="1058" t="n">
        <f>'برنامه خرد'!AI66</f>
        <v>26</v>
      </c>
      <c r="L75" s="1061"/>
      <c r="M75" s="1064" t="str">
        <f>IF(OR(L75="",K75=0),"",IFERROR(L75/K75,0))</f>
      </c>
      <c r="N75" s="1058" t="n">
        <f>'برنامه خرد'!AJ66</f>
        <v>17</v>
      </c>
      <c r="O75" s="1061"/>
      <c r="P75" s="1064" t="str">
        <f>IF(O75="","",IFERROR(O75/N75,0))</f>
      </c>
      <c r="Q75" s="1061"/>
      <c r="R75" s="1061"/>
      <c r="S75" s="1061"/>
      <c r="T75" s="1042"/>
      <c r="U75" s="1042"/>
      <c r="V75" s="1042"/>
      <c r="W75" s="1064" t="str">
        <f>IF(COUNT(J75,M75,P75)=0,"",AVERAGE(J75,M75,P75))</f>
      </c>
      <c r="X75" s="681" t="str">
        <f>IF(I75="","",I75-H75)</f>
      </c>
      <c r="Y75" s="282" t="str">
        <f>IF(I75="","ثبت‌نشده",IF(W75&gt;=0.9,"مطلوب",IF(W75&gt;=0.6,"نسبی","نیازمند جبران")))</f>
        <v>ثبت‌نشده</v>
      </c>
      <c r="Z75" s="1066" t="n">
        <f>'برنامه خرد'!I66</f>
        <v>46301</v>
      </c>
      <c r="AA75" s="61" t="n">
        <f>IF(I75="",0,1)</f>
        <v>0</v>
      </c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1423"/>
      <c r="AZ75" s="1423"/>
      <c r="BA75" s="1423"/>
      <c r="BB75" s="1423"/>
      <c r="BC75" s="1423"/>
      <c r="BD75" s="1423"/>
      <c r="BE75" s="1423"/>
      <c r="BF75" s="1423"/>
      <c r="BG75" s="1423"/>
      <c r="BH75" s="1423"/>
      <c r="BI75" s="1423"/>
      <c r="BJ75" s="1423"/>
      <c r="BK75" s="1423"/>
      <c r="BL75" s="1423"/>
      <c r="BM75" s="1423"/>
    </row>
    <row r="76" ht="48" customHeight="1">
      <c r="A76" s="366" t="str">
        <f>'برنامه خرد'!A67</f>
        <v>۱۴۰۵/۰۷/۱۵</v>
      </c>
      <c r="B76" s="367" t="str">
        <f>'برنامه خرد'!B67</f>
        <v>چهارشنبه</v>
      </c>
      <c r="C76" s="680" t="n">
        <f>'برنامه خرد'!K67</f>
        <v>10</v>
      </c>
      <c r="D76" s="367" t="str">
        <f>IF('برنامه خرد'!N67='برنامه خرد'!O67,'برنامه خرد'!N67,'برنامه خرد'!N67&amp;" + "&amp;'برنامه خرد'!O67)</f>
        <v>نظریه‌های روان‌درمانی پروچاسکا + آسیب‌شناسی روانی</v>
      </c>
      <c r="E76" s="367" t="str">
        <f>'برنامه خرد'!E67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6" s="1054" t="str">
        <f>'برنامه خرد'!G67</f>
        <v>انجام‌نشده</v>
      </c>
      <c r="G76" s="1058" t="n">
        <f>'برنامه خرد'!AB67</f>
        <v>0</v>
      </c>
      <c r="H76" s="1058" t="n">
        <f>'برنامه خرد'!AG67</f>
        <v>240</v>
      </c>
      <c r="I76" s="1061"/>
      <c r="J76" s="1064" t="str">
        <f>IF(I76="","",IFERROR(I76/H76,0))</f>
      </c>
      <c r="K76" s="1058" t="n">
        <f>'برنامه خرد'!AI67</f>
        <v>33</v>
      </c>
      <c r="L76" s="1061"/>
      <c r="M76" s="1064" t="str">
        <f>IF(OR(L76="",K76=0),"",IFERROR(L76/K76,0))</f>
      </c>
      <c r="N76" s="1058" t="n">
        <f>'برنامه خرد'!AJ67</f>
        <v>17</v>
      </c>
      <c r="O76" s="1061"/>
      <c r="P76" s="1064" t="str">
        <f>IF(O76="","",IFERROR(O76/N76,0))</f>
      </c>
      <c r="Q76" s="1061"/>
      <c r="R76" s="1061"/>
      <c r="S76" s="1061"/>
      <c r="T76" s="1042"/>
      <c r="U76" s="1042"/>
      <c r="V76" s="1042"/>
      <c r="W76" s="1064" t="str">
        <f>IF(COUNT(J76,M76,P76)=0,"",AVERAGE(J76,M76,P76))</f>
      </c>
      <c r="X76" s="680" t="str">
        <f>IF(I76="","",I76-H76)</f>
      </c>
      <c r="Y76" s="368" t="str">
        <f>IF(I76="","ثبت‌نشده",IF(W76&gt;=0.9,"مطلوب",IF(W76&gt;=0.6,"نسبی","نیازمند جبران")))</f>
        <v>ثبت‌نشده</v>
      </c>
      <c r="Z76" s="1066" t="n">
        <f>'برنامه خرد'!I67</f>
        <v>46302</v>
      </c>
      <c r="AA76" s="61" t="n">
        <f>IF(I76="",0,1)</f>
        <v>0</v>
      </c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1423"/>
      <c r="AZ76" s="1423"/>
      <c r="BA76" s="1423"/>
      <c r="BB76" s="1423"/>
      <c r="BC76" s="1423"/>
      <c r="BD76" s="1423"/>
      <c r="BE76" s="1423"/>
      <c r="BF76" s="1423"/>
      <c r="BG76" s="1423"/>
      <c r="BH76" s="1423"/>
      <c r="BI76" s="1423"/>
      <c r="BJ76" s="1423"/>
      <c r="BK76" s="1423"/>
      <c r="BL76" s="1423"/>
      <c r="BM76" s="1423"/>
    </row>
    <row r="77" ht="48" customHeight="1">
      <c r="A77" s="280" t="str">
        <f>'برنامه خرد'!A68</f>
        <v>۱۴۰۵/۰۷/۱۶</v>
      </c>
      <c r="B77" s="281" t="str">
        <f>'برنامه خرد'!B68</f>
        <v>پنجشنبه</v>
      </c>
      <c r="C77" s="681" t="n">
        <f>'برنامه خرد'!K68</f>
        <v>10</v>
      </c>
      <c r="D77" s="281" t="str">
        <f>IF('برنامه خرد'!N68='برنامه خرد'!O68,'برنامه خرد'!N68,'برنامه خرد'!N68&amp;" + "&amp;'برنامه خرد'!O68)</f>
        <v>روان‌شناسی رشد کرین + آسیب‌شناسی روانی</v>
      </c>
      <c r="E77" s="281" t="str">
        <f>'برنامه خرد'!E68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7" s="1054" t="str">
        <f>'برنامه خرد'!G68</f>
        <v>انجام‌نشده</v>
      </c>
      <c r="G77" s="1058" t="n">
        <f>'برنامه خرد'!AB68</f>
        <v>0</v>
      </c>
      <c r="H77" s="1058" t="n">
        <f>'برنامه خرد'!AG68</f>
        <v>240</v>
      </c>
      <c r="I77" s="1061"/>
      <c r="J77" s="1064" t="str">
        <f>IF(I77="","",IFERROR(I77/H77,0))</f>
      </c>
      <c r="K77" s="1058" t="n">
        <f>'برنامه خرد'!AI68</f>
        <v>26</v>
      </c>
      <c r="L77" s="1061"/>
      <c r="M77" s="1064" t="str">
        <f>IF(OR(L77="",K77=0),"",IFERROR(L77/K77,0))</f>
      </c>
      <c r="N77" s="1058" t="n">
        <f>'برنامه خرد'!AJ68</f>
        <v>17</v>
      </c>
      <c r="O77" s="1061"/>
      <c r="P77" s="1064" t="str">
        <f>IF(O77="","",IFERROR(O77/N77,0))</f>
      </c>
      <c r="Q77" s="1061"/>
      <c r="R77" s="1061"/>
      <c r="S77" s="1061"/>
      <c r="T77" s="1042"/>
      <c r="U77" s="1042"/>
      <c r="V77" s="1042"/>
      <c r="W77" s="1064" t="str">
        <f>IF(COUNT(J77,M77,P77)=0,"",AVERAGE(J77,M77,P77))</f>
      </c>
      <c r="X77" s="681" t="str">
        <f>IF(I77="","",I77-H77)</f>
      </c>
      <c r="Y77" s="282" t="str">
        <f>IF(I77="","ثبت‌نشده",IF(W77&gt;=0.9,"مطلوب",IF(W77&gt;=0.6,"نسبی","نیازمند جبران")))</f>
        <v>ثبت‌نشده</v>
      </c>
      <c r="Z77" s="1066" t="n">
        <f>'برنامه خرد'!I68</f>
        <v>46303</v>
      </c>
      <c r="AA77" s="61" t="n">
        <f>IF(I77="",0,1)</f>
        <v>0</v>
      </c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1423"/>
      <c r="AZ77" s="1423"/>
      <c r="BA77" s="1423"/>
      <c r="BB77" s="1423"/>
      <c r="BC77" s="1423"/>
      <c r="BD77" s="1423"/>
      <c r="BE77" s="1423"/>
      <c r="BF77" s="1423"/>
      <c r="BG77" s="1423"/>
      <c r="BH77" s="1423"/>
      <c r="BI77" s="1423"/>
      <c r="BJ77" s="1423"/>
      <c r="BK77" s="1423"/>
      <c r="BL77" s="1423"/>
      <c r="BM77" s="1423"/>
    </row>
    <row r="78" ht="48" customHeight="1">
      <c r="A78" s="366" t="str">
        <f>'برنامه خرد'!A69</f>
        <v>۱۴۰۵/۰۷/۱۷</v>
      </c>
      <c r="B78" s="367" t="str">
        <f>'برنامه خرد'!B69</f>
        <v>جمعه</v>
      </c>
      <c r="C78" s="680" t="n">
        <f>'برنامه خرد'!K69</f>
        <v>10</v>
      </c>
      <c r="D78" s="367" t="str">
        <f>IF('برنامه خرد'!N69='برنامه خرد'!O69,'برنامه خرد'!N69,'برنامه خرد'!N69&amp;" + "&amp;'برنامه خرد'!O69)</f>
        <v>آسیب‌شناسی روانی</v>
      </c>
      <c r="E78" s="367" t="str">
        <f>'برنامه خرد'!E69</f>
        <v>پارت ۱: مطالعه + بازیابی همان‌جلسه + بازخورد + مرور فاصله‌دار + تست و تحلیل | پارت ۲: ایستگاه جبرانی و تثبیت + بازیابی + آزمون هدفمند + تحلیل</v>
      </c>
      <c r="F78" s="1054" t="str">
        <f>'برنامه خرد'!G69</f>
        <v>انجام‌نشده</v>
      </c>
      <c r="G78" s="1058" t="n">
        <f>'برنامه خرد'!AB69</f>
        <v>0</v>
      </c>
      <c r="H78" s="1058" t="n">
        <f>'برنامه خرد'!AG69</f>
        <v>240</v>
      </c>
      <c r="I78" s="1061"/>
      <c r="J78" s="1064" t="str">
        <f>IF(I78="","",IFERROR(I78/H78,0))</f>
      </c>
      <c r="K78" s="1058" t="n">
        <f>'برنامه خرد'!AI69</f>
        <v>20</v>
      </c>
      <c r="L78" s="1061"/>
      <c r="M78" s="1064" t="str">
        <f>IF(OR(L78="",K78=0),"",IFERROR(L78/K78,0))</f>
      </c>
      <c r="N78" s="1058" t="n">
        <f>'برنامه خرد'!AJ69</f>
        <v>17</v>
      </c>
      <c r="O78" s="1061"/>
      <c r="P78" s="1064" t="str">
        <f>IF(O78="","",IFERROR(O78/N78,0))</f>
      </c>
      <c r="Q78" s="1061"/>
      <c r="R78" s="1061"/>
      <c r="S78" s="1061"/>
      <c r="T78" s="1042"/>
      <c r="U78" s="1042"/>
      <c r="V78" s="1042"/>
      <c r="W78" s="1064" t="str">
        <f>IF(COUNT(J78,M78,P78)=0,"",AVERAGE(J78,M78,P78))</f>
      </c>
      <c r="X78" s="680" t="str">
        <f>IF(I78="","",I78-H78)</f>
      </c>
      <c r="Y78" s="368" t="str">
        <f>IF(I78="","ثبت‌نشده",IF(W78&gt;=0.9,"مطلوب",IF(W78&gt;=0.6,"نسبی","نیازمند جبران")))</f>
        <v>ثبت‌نشده</v>
      </c>
      <c r="Z78" s="1066" t="n">
        <f>'برنامه خرد'!I69</f>
        <v>46304</v>
      </c>
      <c r="AA78" s="61" t="n">
        <f>IF(I78="",0,1)</f>
        <v>0</v>
      </c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1423"/>
      <c r="AZ78" s="1423"/>
      <c r="BA78" s="1423"/>
      <c r="BB78" s="1423"/>
      <c r="BC78" s="1423"/>
      <c r="BD78" s="1423"/>
      <c r="BE78" s="1423"/>
      <c r="BF78" s="1423"/>
      <c r="BG78" s="1423"/>
      <c r="BH78" s="1423"/>
      <c r="BI78" s="1423"/>
      <c r="BJ78" s="1423"/>
      <c r="BK78" s="1423"/>
      <c r="BL78" s="1423"/>
      <c r="BM78" s="1423"/>
    </row>
    <row r="79" ht="48" customHeight="1">
      <c r="A79" s="280" t="str">
        <f>'برنامه خرد'!A70</f>
        <v>۱۴۰۵/۰۷/۱۸</v>
      </c>
      <c r="B79" s="281" t="str">
        <f>'برنامه خرد'!B70</f>
        <v>شنبه</v>
      </c>
      <c r="C79" s="681" t="n">
        <f>'برنامه خرد'!K70</f>
        <v>11</v>
      </c>
      <c r="D79" s="281" t="str">
        <f>IF('برنامه خرد'!N70='برنامه خرد'!O70,'برنامه خرد'!N70,'برنامه خرد'!N70&amp;" + "&amp;'برنامه خرد'!O70)</f>
        <v>نظریه‌های روان‌درمانی پروچاسکا + روان‌شناسی رشد کرین</v>
      </c>
      <c r="E79" s="281" t="str">
        <f>'برنامه خرد'!E70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79" s="1054" t="str">
        <f>'برنامه خرد'!G70</f>
        <v>انجام‌نشده</v>
      </c>
      <c r="G79" s="1058" t="n">
        <f>'برنامه خرد'!AB70</f>
        <v>0</v>
      </c>
      <c r="H79" s="1058" t="n">
        <f>'برنامه خرد'!AG70</f>
        <v>240</v>
      </c>
      <c r="I79" s="1061"/>
      <c r="J79" s="1064" t="str">
        <f>IF(I79="","",IFERROR(I79/H79,0))</f>
      </c>
      <c r="K79" s="1058" t="n">
        <f>'برنامه خرد'!AI70</f>
        <v>32</v>
      </c>
      <c r="L79" s="1061"/>
      <c r="M79" s="1064" t="str">
        <f>IF(OR(L79="",K79=0),"",IFERROR(L79/K79,0))</f>
      </c>
      <c r="N79" s="1058" t="n">
        <f>'برنامه خرد'!AJ70</f>
        <v>17</v>
      </c>
      <c r="O79" s="1061"/>
      <c r="P79" s="1064" t="str">
        <f>IF(O79="","",IFERROR(O79/N79,0))</f>
      </c>
      <c r="Q79" s="1061"/>
      <c r="R79" s="1061"/>
      <c r="S79" s="1061"/>
      <c r="T79" s="1042"/>
      <c r="U79" s="1042"/>
      <c r="V79" s="1042"/>
      <c r="W79" s="1064" t="str">
        <f>IF(COUNT(J79,M79,P79)=0,"",AVERAGE(J79,M79,P79))</f>
      </c>
      <c r="X79" s="681" t="str">
        <f>IF(I79="","",I79-H79)</f>
      </c>
      <c r="Y79" s="282" t="str">
        <f>IF(I79="","ثبت‌نشده",IF(W79&gt;=0.9,"مطلوب",IF(W79&gt;=0.6,"نسبی","نیازمند جبران")))</f>
        <v>ثبت‌نشده</v>
      </c>
      <c r="Z79" s="1066" t="n">
        <f>'برنامه خرد'!I70</f>
        <v>46305</v>
      </c>
      <c r="AA79" s="61" t="n">
        <f>IF(I79="",0,1)</f>
        <v>0</v>
      </c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1423"/>
      <c r="AZ79" s="1423"/>
      <c r="BA79" s="1423"/>
      <c r="BB79" s="1423"/>
      <c r="BC79" s="1423"/>
      <c r="BD79" s="1423"/>
      <c r="BE79" s="1423"/>
      <c r="BF79" s="1423"/>
      <c r="BG79" s="1423"/>
      <c r="BH79" s="1423"/>
      <c r="BI79" s="1423"/>
      <c r="BJ79" s="1423"/>
      <c r="BK79" s="1423"/>
      <c r="BL79" s="1423"/>
      <c r="BM79" s="1423"/>
    </row>
    <row r="80" ht="48" customHeight="1">
      <c r="A80" s="366" t="str">
        <f>'برنامه خرد'!A71</f>
        <v>۱۴۰۵/۰۷/۱۹</v>
      </c>
      <c r="B80" s="367" t="str">
        <f>'برنامه خرد'!B71</f>
        <v>یکشنبه</v>
      </c>
      <c r="C80" s="680" t="n">
        <f>'برنامه خرد'!K71</f>
        <v>11</v>
      </c>
      <c r="D80" s="367" t="str">
        <f>IF('برنامه خرد'!N71='برنامه خرد'!O71,'برنامه خرد'!N71,'برنامه خرد'!N71&amp;" + "&amp;'برنامه خرد'!O71)</f>
        <v>آسیب‌شناسی روانی + روان‌شناسی رشد کرین</v>
      </c>
      <c r="E80" s="367" t="str">
        <f>'برنامه خرد'!E71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80" s="1054" t="str">
        <f>'برنامه خرد'!G71</f>
        <v>انجام‌نشده</v>
      </c>
      <c r="G80" s="1058" t="n">
        <f>'برنامه خرد'!AB71</f>
        <v>0</v>
      </c>
      <c r="H80" s="1058" t="n">
        <f>'برنامه خرد'!AG71</f>
        <v>240</v>
      </c>
      <c r="I80" s="1061"/>
      <c r="J80" s="1064" t="str">
        <f>IF(I80="","",IFERROR(I80/H80,0))</f>
      </c>
      <c r="K80" s="1058" t="n">
        <f>'برنامه خرد'!AI71</f>
        <v>25</v>
      </c>
      <c r="L80" s="1061"/>
      <c r="M80" s="1064" t="str">
        <f>IF(OR(L80="",K80=0),"",IFERROR(L80/K80,0))</f>
      </c>
      <c r="N80" s="1058" t="n">
        <f>'برنامه خرد'!AJ71</f>
        <v>17</v>
      </c>
      <c r="O80" s="1061"/>
      <c r="P80" s="1064" t="str">
        <f>IF(O80="","",IFERROR(O80/N80,0))</f>
      </c>
      <c r="Q80" s="1061"/>
      <c r="R80" s="1061"/>
      <c r="S80" s="1061"/>
      <c r="T80" s="1042"/>
      <c r="U80" s="1042"/>
      <c r="V80" s="1042"/>
      <c r="W80" s="1064" t="str">
        <f>IF(COUNT(J80,M80,P80)=0,"",AVERAGE(J80,M80,P80))</f>
      </c>
      <c r="X80" s="680" t="str">
        <f>IF(I80="","",I80-H80)</f>
      </c>
      <c r="Y80" s="368" t="str">
        <f>IF(I80="","ثبت‌نشده",IF(W80&gt;=0.9,"مطلوب",IF(W80&gt;=0.6,"نسبی","نیازمند جبران")))</f>
        <v>ثبت‌نشده</v>
      </c>
      <c r="Z80" s="1066" t="n">
        <f>'برنامه خرد'!I71</f>
        <v>46306</v>
      </c>
      <c r="AA80" s="61" t="n">
        <f>IF(I80="",0,1)</f>
        <v>0</v>
      </c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1423"/>
      <c r="AZ80" s="1423"/>
      <c r="BA80" s="1423"/>
      <c r="BB80" s="1423"/>
      <c r="BC80" s="1423"/>
      <c r="BD80" s="1423"/>
      <c r="BE80" s="1423"/>
      <c r="BF80" s="1423"/>
      <c r="BG80" s="1423"/>
      <c r="BH80" s="1423"/>
      <c r="BI80" s="1423"/>
      <c r="BJ80" s="1423"/>
      <c r="BK80" s="1423"/>
      <c r="BL80" s="1423"/>
      <c r="BM80" s="1423"/>
    </row>
    <row r="81" ht="48" customHeight="1">
      <c r="A81" s="280" t="str">
        <f>'برنامه خرد'!A72</f>
        <v>۱۴۰۵/۰۷/۲۰</v>
      </c>
      <c r="B81" s="281" t="str">
        <f>'برنامه خرد'!B72</f>
        <v>دوشنبه</v>
      </c>
      <c r="C81" s="681" t="n">
        <f>'برنامه خرد'!K72</f>
        <v>11</v>
      </c>
      <c r="D81" s="281" t="str">
        <f>IF('برنامه خرد'!N72='برنامه خرد'!O72,'برنامه خرد'!N72,'برنامه خرد'!N72&amp;" + "&amp;'برنامه خرد'!O72)</f>
        <v>نظریه‌های روان‌درمانی پروچاسکا + روان‌شناسی رشد کرین</v>
      </c>
      <c r="E81" s="281" t="str">
        <f>'برنامه خرد'!E72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81" s="1054" t="str">
        <f>'برنامه خرد'!G72</f>
        <v>انجام‌نشده</v>
      </c>
      <c r="G81" s="1058" t="n">
        <f>'برنامه خرد'!AB72</f>
        <v>0</v>
      </c>
      <c r="H81" s="1058" t="n">
        <f>'برنامه خرد'!AG72</f>
        <v>240</v>
      </c>
      <c r="I81" s="1061"/>
      <c r="J81" s="1064" t="str">
        <f>IF(I81="","",IFERROR(I81/H81,0))</f>
      </c>
      <c r="K81" s="1058" t="n">
        <f>'برنامه خرد'!AI72</f>
        <v>32</v>
      </c>
      <c r="L81" s="1061"/>
      <c r="M81" s="1064" t="str">
        <f>IF(OR(L81="",K81=0),"",IFERROR(L81/K81,0))</f>
      </c>
      <c r="N81" s="1058" t="n">
        <f>'برنامه خرد'!AJ72</f>
        <v>17</v>
      </c>
      <c r="O81" s="1061"/>
      <c r="P81" s="1064" t="str">
        <f>IF(O81="","",IFERROR(O81/N81,0))</f>
      </c>
      <c r="Q81" s="1061"/>
      <c r="R81" s="1061"/>
      <c r="S81" s="1061"/>
      <c r="T81" s="1042"/>
      <c r="U81" s="1042"/>
      <c r="V81" s="1042"/>
      <c r="W81" s="1064" t="str">
        <f>IF(COUNT(J81,M81,P81)=0,"",AVERAGE(J81,M81,P81))</f>
      </c>
      <c r="X81" s="681" t="str">
        <f>IF(I81="","",I81-H81)</f>
      </c>
      <c r="Y81" s="282" t="str">
        <f>IF(I81="","ثبت‌نشده",IF(W81&gt;=0.9,"مطلوب",IF(W81&gt;=0.6,"نسبی","نیازمند جبران")))</f>
        <v>ثبت‌نشده</v>
      </c>
      <c r="Z81" s="1066" t="n">
        <f>'برنامه خرد'!I72</f>
        <v>46307</v>
      </c>
      <c r="AA81" s="61" t="n">
        <f>IF(I81="",0,1)</f>
        <v>0</v>
      </c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1423"/>
      <c r="AZ81" s="1423"/>
      <c r="BA81" s="1423"/>
      <c r="BB81" s="1423"/>
      <c r="BC81" s="1423"/>
      <c r="BD81" s="1423"/>
      <c r="BE81" s="1423"/>
      <c r="BF81" s="1423"/>
      <c r="BG81" s="1423"/>
      <c r="BH81" s="1423"/>
      <c r="BI81" s="1423"/>
      <c r="BJ81" s="1423"/>
      <c r="BK81" s="1423"/>
      <c r="BL81" s="1423"/>
      <c r="BM81" s="1423"/>
    </row>
    <row r="82" ht="48" customHeight="1">
      <c r="A82" s="366" t="str">
        <f>'برنامه خرد'!A73</f>
        <v>۱۴۰۵/۰۷/۲۱</v>
      </c>
      <c r="B82" s="367" t="str">
        <f>'برنامه خرد'!B73</f>
        <v>سه‌شنبه</v>
      </c>
      <c r="C82" s="680" t="n">
        <f>'برنامه خرد'!K73</f>
        <v>11</v>
      </c>
      <c r="D82" s="367" t="str">
        <f>IF('برنامه خرد'!N73='برنامه خرد'!O73,'برنامه خرد'!N73,'برنامه خرد'!N73&amp;" + "&amp;'برنامه خرد'!O73)</f>
        <v>روان‌شناسی رشد کرین + آسیب‌شناسی روانی</v>
      </c>
      <c r="E82" s="367" t="str">
        <f>'برنامه خرد'!E73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82" s="1054" t="str">
        <f>'برنامه خرد'!G73</f>
        <v>انجام‌نشده</v>
      </c>
      <c r="G82" s="1058" t="n">
        <f>'برنامه خرد'!AB73</f>
        <v>0</v>
      </c>
      <c r="H82" s="1058" t="n">
        <f>'برنامه خرد'!AG73</f>
        <v>240</v>
      </c>
      <c r="I82" s="1061"/>
      <c r="J82" s="1064" t="str">
        <f>IF(I82="","",IFERROR(I82/H82,0))</f>
      </c>
      <c r="K82" s="1058" t="n">
        <f>'برنامه خرد'!AI73</f>
        <v>26</v>
      </c>
      <c r="L82" s="1061"/>
      <c r="M82" s="1064" t="str">
        <f>IF(OR(L82="",K82=0),"",IFERROR(L82/K82,0))</f>
      </c>
      <c r="N82" s="1058" t="n">
        <f>'برنامه خرد'!AJ73</f>
        <v>17</v>
      </c>
      <c r="O82" s="1061"/>
      <c r="P82" s="1064" t="str">
        <f>IF(O82="","",IFERROR(O82/N82,0))</f>
      </c>
      <c r="Q82" s="1061"/>
      <c r="R82" s="1061"/>
      <c r="S82" s="1061"/>
      <c r="T82" s="1042"/>
      <c r="U82" s="1042"/>
      <c r="V82" s="1042"/>
      <c r="W82" s="1064" t="str">
        <f>IF(COUNT(J82,M82,P82)=0,"",AVERAGE(J82,M82,P82))</f>
      </c>
      <c r="X82" s="680" t="str">
        <f>IF(I82="","",I82-H82)</f>
      </c>
      <c r="Y82" s="368" t="str">
        <f>IF(I82="","ثبت‌نشده",IF(W82&gt;=0.9,"مطلوب",IF(W82&gt;=0.6,"نسبی","نیازمند جبران")))</f>
        <v>ثبت‌نشده</v>
      </c>
      <c r="Z82" s="1066" t="n">
        <f>'برنامه خرد'!I73</f>
        <v>46308</v>
      </c>
      <c r="AA82" s="61" t="n">
        <f>IF(I82="",0,1)</f>
        <v>0</v>
      </c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1423"/>
      <c r="AZ82" s="1423"/>
      <c r="BA82" s="1423"/>
      <c r="BB82" s="1423"/>
      <c r="BC82" s="1423"/>
      <c r="BD82" s="1423"/>
      <c r="BE82" s="1423"/>
      <c r="BF82" s="1423"/>
      <c r="BG82" s="1423"/>
      <c r="BH82" s="1423"/>
      <c r="BI82" s="1423"/>
      <c r="BJ82" s="1423"/>
      <c r="BK82" s="1423"/>
      <c r="BL82" s="1423"/>
      <c r="BM82" s="1423"/>
    </row>
    <row r="83" ht="48" customHeight="1">
      <c r="A83" s="280" t="str">
        <f>'برنامه خرد'!A74</f>
        <v>۱۴۰۵/۰۷/۲۲</v>
      </c>
      <c r="B83" s="281" t="str">
        <f>'برنامه خرد'!B74</f>
        <v>چهارشنبه</v>
      </c>
      <c r="C83" s="681" t="n">
        <f>'برنامه خرد'!K74</f>
        <v>11</v>
      </c>
      <c r="D83" s="281" t="str">
        <f>IF('برنامه خرد'!N74='برنامه خرد'!O74,'برنامه خرد'!N74,'برنامه خرد'!N74&amp;" + "&amp;'برنامه خرد'!O74)</f>
        <v>آسیب‌شناسی روانی + نظریه‌های روان‌درمانی پروچاسکا</v>
      </c>
      <c r="E83" s="281" t="str">
        <f>'برنامه خرد'!E74</f>
        <v>پارت ۱: مطالعه + بازیابی همان‌جلسه + بازخورد + مرور فاصله‌دار + تست و تحلیل | پارت ۲: مطالعه + بازیابی همان‌جلسه + بازخورد + مرور فاصله‌دار + تست و تحلیل</v>
      </c>
      <c r="F83" s="1054" t="str">
        <f>'برنامه خرد'!G74</f>
        <v>انجام‌نشده</v>
      </c>
      <c r="G83" s="1058" t="n">
        <f>'برنامه خرد'!AB74</f>
        <v>0</v>
      </c>
      <c r="H83" s="1058" t="n">
        <f>'برنامه خرد'!AG74</f>
        <v>240</v>
      </c>
      <c r="I83" s="1061"/>
      <c r="J83" s="1064" t="str">
        <f>IF(I83="","",IFERROR(I83/H83,0))</f>
      </c>
      <c r="K83" s="1058" t="n">
        <f>'برنامه خرد'!AI74</f>
        <v>28</v>
      </c>
      <c r="L83" s="1061"/>
      <c r="M83" s="1064" t="str">
        <f>IF(OR(L83="",K83=0),"",IFERROR(L83/K83,0))</f>
      </c>
      <c r="N83" s="1058" t="n">
        <f>'برنامه خرد'!AJ74</f>
        <v>17</v>
      </c>
      <c r="O83" s="1061"/>
      <c r="P83" s="1064" t="str">
        <f>IF(O83="","",IFERROR(O83/N83,0))</f>
      </c>
      <c r="Q83" s="1061"/>
      <c r="R83" s="1061"/>
      <c r="S83" s="1061"/>
      <c r="T83" s="1042"/>
      <c r="U83" s="1042"/>
      <c r="V83" s="1042"/>
      <c r="W83" s="1064" t="str">
        <f>IF(COUNT(J83,M83,P83)=0,"",AVERAGE(J83,M83,P83))</f>
      </c>
      <c r="X83" s="681" t="str">
        <f>IF(I83="","",I83-H83)</f>
      </c>
      <c r="Y83" s="282" t="str">
        <f>IF(I83="","ثبت‌نشده",IF(W83&gt;=0.9,"مطلوب",IF(W83&gt;=0.6,"نسبی","نیازمند جبران")))</f>
        <v>ثبت‌نشده</v>
      </c>
      <c r="Z83" s="1066" t="n">
        <f>'برنامه خرد'!I74</f>
        <v>46309</v>
      </c>
      <c r="AA83" s="61" t="n">
        <f>IF(I83="",0,1)</f>
        <v>0</v>
      </c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1423"/>
      <c r="AZ83" s="1423"/>
      <c r="BA83" s="1423"/>
      <c r="BB83" s="1423"/>
      <c r="BC83" s="1423"/>
      <c r="BD83" s="1423"/>
      <c r="BE83" s="1423"/>
      <c r="BF83" s="1423"/>
      <c r="BG83" s="1423"/>
      <c r="BH83" s="1423"/>
      <c r="BI83" s="1423"/>
      <c r="BJ83" s="1423"/>
      <c r="BK83" s="1423"/>
      <c r="BL83" s="1423"/>
      <c r="BM83" s="1423"/>
    </row>
    <row r="84" ht="48" customHeight="1">
      <c r="A84" s="366" t="str">
        <f>'برنامه خرد'!A75</f>
        <v>۱۴۰۵/۰۷/۲۳</v>
      </c>
      <c r="B84" s="367" t="str">
        <f>'برنامه خرد'!B75</f>
        <v>پنجشنبه</v>
      </c>
      <c r="C84" s="680" t="n">
        <f>'برنامه خرد'!K75</f>
        <v>11</v>
      </c>
      <c r="D84" s="367" t="str">
        <f>IF('برنامه خرد'!N75='برنامه خرد'!O75,'برنامه خرد'!N75,'برنامه خرد'!N75&amp;" + "&amp;'برنامه خرد'!O75)</f>
        <v>نظریه‌های روان‌درمانی پروچاسکا</v>
      </c>
      <c r="E84" s="367" t="str">
        <f>'برنامه خرد'!E75</f>
        <v>پارت ۱: بازیابی تجمعی + بازآموزی + مرور دفتر خطا + تست و تحلیل | پارت ۲: بازیابی تجمعی + بازآموزی + تست و تحلیل</v>
      </c>
      <c r="F84" s="1054" t="str">
        <f>'برنامه خرد'!G75</f>
        <v>انجام‌نشده</v>
      </c>
      <c r="G84" s="1058" t="n">
        <f>'برنامه خرد'!AB75</f>
        <v>0</v>
      </c>
      <c r="H84" s="1058" t="n">
        <f>'برنامه خرد'!AG75</f>
        <v>240</v>
      </c>
      <c r="I84" s="1061"/>
      <c r="J84" s="1064" t="str">
        <f>IF(I84="","",IFERROR(I84/H84,0))</f>
      </c>
      <c r="K84" s="1058" t="n">
        <f>'برنامه خرد'!AI75</f>
        <v>0</v>
      </c>
      <c r="L84" s="1061"/>
      <c r="M84" s="1064" t="str">
        <f>IF(OR(L84="",K84=0),"",IFERROR(L84/K84,0))</f>
      </c>
      <c r="N84" s="1058" t="n">
        <f>'برنامه خرد'!AJ75</f>
        <v>17</v>
      </c>
      <c r="O84" s="1061"/>
      <c r="P84" s="1064" t="str">
        <f>IF(O84="","",IFERROR(O84/N84,0))</f>
      </c>
      <c r="Q84" s="1061"/>
      <c r="R84" s="1061"/>
      <c r="S84" s="1061"/>
      <c r="T84" s="1042"/>
      <c r="U84" s="1042"/>
      <c r="V84" s="1042"/>
      <c r="W84" s="1064" t="str">
        <f>IF(COUNT(J84,M84,P84)=0,"",AVERAGE(J84,M84,P84))</f>
      </c>
      <c r="X84" s="680" t="str">
        <f>IF(I84="","",I84-H84)</f>
      </c>
      <c r="Y84" s="368" t="str">
        <f>IF(I84="","ثبت‌نشده",IF(W84&gt;=0.9,"مطلوب",IF(W84&gt;=0.6,"نسبی","نیازمند جبران")))</f>
        <v>ثبت‌نشده</v>
      </c>
      <c r="Z84" s="1066" t="n">
        <f>'برنامه خرد'!I75</f>
        <v>46310</v>
      </c>
      <c r="AA84" s="61" t="n">
        <f>IF(I84="",0,1)</f>
        <v>0</v>
      </c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1423"/>
      <c r="AZ84" s="1423"/>
      <c r="BA84" s="1423"/>
      <c r="BB84" s="1423"/>
      <c r="BC84" s="1423"/>
      <c r="BD84" s="1423"/>
      <c r="BE84" s="1423"/>
      <c r="BF84" s="1423"/>
      <c r="BG84" s="1423"/>
      <c r="BH84" s="1423"/>
      <c r="BI84" s="1423"/>
      <c r="BJ84" s="1423"/>
      <c r="BK84" s="1423"/>
      <c r="BL84" s="1423"/>
      <c r="BM84" s="1423"/>
    </row>
    <row r="85" ht="48" customHeight="1">
      <c r="A85" s="280" t="str">
        <f>'برنامه خرد'!A76</f>
        <v>۱۴۰۵/۰۷/۲۴</v>
      </c>
      <c r="B85" s="281" t="str">
        <f>'برنامه خرد'!B76</f>
        <v>جمعه</v>
      </c>
      <c r="C85" s="681" t="n">
        <f>'برنامه خرد'!K76</f>
        <v>11</v>
      </c>
      <c r="D85" s="281" t="str">
        <f>IF('برنامه خرد'!N76='برنامه خرد'!O76,'برنامه خرد'!N76,'برنامه خرد'!N76&amp;" + "&amp;'برنامه خرد'!O76)</f>
        <v>آسیب‌شناسی روانی</v>
      </c>
      <c r="E85" s="281" t="str">
        <f>'برنامه خرد'!E76</f>
        <v>پارت ۱: بازیابی تجمعی + بازآموزی + مرور دفتر خطا + تست و تحلیل | پارت ۲: ایستگاه جبرانی و تثبیت + مرور تجمعی + آزمون هدفمند + تحلیل</v>
      </c>
      <c r="F85" s="1054" t="str">
        <f>'برنامه خرد'!G76</f>
        <v>انجام‌نشده</v>
      </c>
      <c r="G85" s="1058" t="n">
        <f>'برنامه خرد'!AB76</f>
        <v>0</v>
      </c>
      <c r="H85" s="1058" t="n">
        <f>'برنامه خرد'!AG76</f>
        <v>240</v>
      </c>
      <c r="I85" s="1061"/>
      <c r="J85" s="1064" t="str">
        <f>IF(I85="","",IFERROR(I85/H85,0))</f>
      </c>
      <c r="K85" s="1058" t="n">
        <f>'برنامه خرد'!AI76</f>
        <v>0</v>
      </c>
      <c r="L85" s="1061"/>
      <c r="M85" s="1064" t="str">
        <f>IF(OR(L85="",K85=0),"",IFERROR(L85/K85,0))</f>
      </c>
      <c r="N85" s="1058" t="n">
        <f>'برنامه خرد'!AJ76</f>
        <v>17</v>
      </c>
      <c r="O85" s="1061"/>
      <c r="P85" s="1064" t="str">
        <f>IF(O85="","",IFERROR(O85/N85,0))</f>
      </c>
      <c r="Q85" s="1061"/>
      <c r="R85" s="1061"/>
      <c r="S85" s="1061"/>
      <c r="T85" s="1042"/>
      <c r="U85" s="1042"/>
      <c r="V85" s="1042"/>
      <c r="W85" s="1064" t="str">
        <f>IF(COUNT(J85,M85,P85)=0,"",AVERAGE(J85,M85,P85))</f>
      </c>
      <c r="X85" s="681" t="str">
        <f>IF(I85="","",I85-H85)</f>
      </c>
      <c r="Y85" s="282" t="str">
        <f>IF(I85="","ثبت‌نشده",IF(W85&gt;=0.9,"مطلوب",IF(W85&gt;=0.6,"نسبی","نیازمند جبران")))</f>
        <v>ثبت‌نشده</v>
      </c>
      <c r="Z85" s="1066" t="n">
        <f>'برنامه خرد'!I76</f>
        <v>46311</v>
      </c>
      <c r="AA85" s="61" t="n">
        <f>IF(I85="",0,1)</f>
        <v>0</v>
      </c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1423"/>
      <c r="AZ85" s="1423"/>
      <c r="BA85" s="1423"/>
      <c r="BB85" s="1423"/>
      <c r="BC85" s="1423"/>
      <c r="BD85" s="1423"/>
      <c r="BE85" s="1423"/>
      <c r="BF85" s="1423"/>
      <c r="BG85" s="1423"/>
      <c r="BH85" s="1423"/>
      <c r="BI85" s="1423"/>
      <c r="BJ85" s="1423"/>
      <c r="BK85" s="1423"/>
      <c r="BL85" s="1423"/>
      <c r="BM85" s="1423"/>
    </row>
    <row r="86" ht="48" customHeight="1">
      <c r="A86" s="366" t="str">
        <f>'برنامه خرد'!A77</f>
        <v>۱۴۰۵/۰۷/۲۵</v>
      </c>
      <c r="B86" s="367" t="str">
        <f>'برنامه خرد'!B77</f>
        <v>شنبه</v>
      </c>
      <c r="C86" s="680" t="n">
        <f>'برنامه خرد'!K77</f>
        <v>12</v>
      </c>
      <c r="D86" s="367" t="str">
        <f>IF('برنامه خرد'!N77='برنامه خرد'!O77,'برنامه خرد'!N77,'برنامه خرد'!N77&amp;" + "&amp;'برنامه خرد'!O77)</f>
        <v>روان‌شناسی رشد کرین + نظریه‌های روان‌درمانی پروچاسکا</v>
      </c>
      <c r="E86" s="367" t="str">
        <f>'برنامه خرد'!E77</f>
        <v>پارت ۱: بازیابی تجمعی + بازآموزی + مرور دفتر خطا + تست و تحلیل | پارت ۲: بازیابی تجمعی + بازآموزی + تست و تحلیل</v>
      </c>
      <c r="F86" s="1054" t="str">
        <f>'برنامه خرد'!G77</f>
        <v>انجام‌نشده</v>
      </c>
      <c r="G86" s="1058" t="n">
        <f>'برنامه خرد'!AB77</f>
        <v>0</v>
      </c>
      <c r="H86" s="1058" t="n">
        <f>'برنامه خرد'!AG77</f>
        <v>240</v>
      </c>
      <c r="I86" s="1061"/>
      <c r="J86" s="1064" t="str">
        <f>IF(I86="","",IFERROR(I86/H86,0))</f>
      </c>
      <c r="K86" s="1058" t="n">
        <f>'برنامه خرد'!AI77</f>
        <v>0</v>
      </c>
      <c r="L86" s="1061"/>
      <c r="M86" s="1064" t="str">
        <f>IF(OR(L86="",K86=0),"",IFERROR(L86/K86,0))</f>
      </c>
      <c r="N86" s="1058" t="n">
        <f>'برنامه خرد'!AJ77</f>
        <v>17</v>
      </c>
      <c r="O86" s="1061"/>
      <c r="P86" s="1064" t="str">
        <f>IF(O86="","",IFERROR(O86/N86,0))</f>
      </c>
      <c r="Q86" s="1061"/>
      <c r="R86" s="1061"/>
      <c r="S86" s="1061"/>
      <c r="T86" s="1042"/>
      <c r="U86" s="1042"/>
      <c r="V86" s="1042"/>
      <c r="W86" s="1064" t="str">
        <f>IF(COUNT(J86,M86,P86)=0,"",AVERAGE(J86,M86,P86))</f>
      </c>
      <c r="X86" s="680" t="str">
        <f>IF(I86="","",I86-H86)</f>
      </c>
      <c r="Y86" s="368" t="str">
        <f>IF(I86="","ثبت‌نشده",IF(W86&gt;=0.9,"مطلوب",IF(W86&gt;=0.6,"نسبی","نیازمند جبران")))</f>
        <v>ثبت‌نشده</v>
      </c>
      <c r="Z86" s="1066" t="n">
        <f>'برنامه خرد'!I77</f>
        <v>46312</v>
      </c>
      <c r="AA86" s="61" t="n">
        <f>IF(I86="",0,1)</f>
        <v>0</v>
      </c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1423"/>
      <c r="AZ86" s="1423"/>
      <c r="BA86" s="1423"/>
      <c r="BB86" s="1423"/>
      <c r="BC86" s="1423"/>
      <c r="BD86" s="1423"/>
      <c r="BE86" s="1423"/>
      <c r="BF86" s="1423"/>
      <c r="BG86" s="1423"/>
      <c r="BH86" s="1423"/>
      <c r="BI86" s="1423"/>
      <c r="BJ86" s="1423"/>
      <c r="BK86" s="1423"/>
      <c r="BL86" s="1423"/>
      <c r="BM86" s="1423"/>
    </row>
    <row r="87" ht="48" customHeight="1">
      <c r="A87" s="280" t="str">
        <f>'برنامه خرد'!A78</f>
        <v>۱۴۰۵/۰۷/۲۶</v>
      </c>
      <c r="B87" s="281" t="str">
        <f>'برنامه خرد'!B78</f>
        <v>یکشنبه</v>
      </c>
      <c r="C87" s="681" t="n">
        <f>'برنامه خرد'!K78</f>
        <v>12</v>
      </c>
      <c r="D87" s="281" t="str">
        <f>IF('برنامه خرد'!N78='برنامه خرد'!O78,'برنامه خرد'!N78,'برنامه خرد'!N78&amp;" + "&amp;'برنامه خرد'!O78)</f>
        <v>آسیب‌شناسی روانی + روان‌شناسی رشد کرین</v>
      </c>
      <c r="E87" s="281" t="str">
        <f>'برنامه خرد'!E78</f>
        <v>پارت ۱: بازیابی تجمعی + بازآموزی + مرور دفتر خطا + تست و تحلیل | پارت ۲: بازیابی تجمعی + بازآموزی + تست و تحلیل</v>
      </c>
      <c r="F87" s="1054" t="str">
        <f>'برنامه خرد'!G78</f>
        <v>انجام‌نشده</v>
      </c>
      <c r="G87" s="1058" t="n">
        <f>'برنامه خرد'!AB78</f>
        <v>0</v>
      </c>
      <c r="H87" s="1058" t="n">
        <f>'برنامه خرد'!AG78</f>
        <v>240</v>
      </c>
      <c r="I87" s="1061"/>
      <c r="J87" s="1064" t="str">
        <f>IF(I87="","",IFERROR(I87/H87,0))</f>
      </c>
      <c r="K87" s="1058" t="n">
        <f>'برنامه خرد'!AI78</f>
        <v>0</v>
      </c>
      <c r="L87" s="1061"/>
      <c r="M87" s="1064" t="str">
        <f>IF(OR(L87="",K87=0),"",IFERROR(L87/K87,0))</f>
      </c>
      <c r="N87" s="1058" t="n">
        <f>'برنامه خرد'!AJ78</f>
        <v>17</v>
      </c>
      <c r="O87" s="1061"/>
      <c r="P87" s="1064" t="str">
        <f>IF(O87="","",IFERROR(O87/N87,0))</f>
      </c>
      <c r="Q87" s="1061"/>
      <c r="R87" s="1061"/>
      <c r="S87" s="1061"/>
      <c r="T87" s="1042"/>
      <c r="U87" s="1042"/>
      <c r="V87" s="1042"/>
      <c r="W87" s="1064" t="str">
        <f>IF(COUNT(J87,M87,P87)=0,"",AVERAGE(J87,M87,P87))</f>
      </c>
      <c r="X87" s="681" t="str">
        <f>IF(I87="","",I87-H87)</f>
      </c>
      <c r="Y87" s="282" t="str">
        <f>IF(I87="","ثبت‌نشده",IF(W87&gt;=0.9,"مطلوب",IF(W87&gt;=0.6,"نسبی","نیازمند جبران")))</f>
        <v>ثبت‌نشده</v>
      </c>
      <c r="Z87" s="1066" t="n">
        <f>'برنامه خرد'!I78</f>
        <v>46313</v>
      </c>
      <c r="AA87" s="61" t="n">
        <f>IF(I87="",0,1)</f>
        <v>0</v>
      </c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1423"/>
      <c r="AZ87" s="1423"/>
      <c r="BA87" s="1423"/>
      <c r="BB87" s="1423"/>
      <c r="BC87" s="1423"/>
      <c r="BD87" s="1423"/>
      <c r="BE87" s="1423"/>
      <c r="BF87" s="1423"/>
      <c r="BG87" s="1423"/>
      <c r="BH87" s="1423"/>
      <c r="BI87" s="1423"/>
      <c r="BJ87" s="1423"/>
      <c r="BK87" s="1423"/>
      <c r="BL87" s="1423"/>
      <c r="BM87" s="1423"/>
    </row>
    <row r="88" ht="48" customHeight="1">
      <c r="A88" s="366" t="str">
        <f>'برنامه خرد'!A79</f>
        <v>۱۴۰۵/۰۷/۲۷</v>
      </c>
      <c r="B88" s="367" t="str">
        <f>'برنامه خرد'!B79</f>
        <v>دوشنبه</v>
      </c>
      <c r="C88" s="680" t="n">
        <f>'برنامه خرد'!K79</f>
        <v>12</v>
      </c>
      <c r="D88" s="367" t="str">
        <f>IF('برنامه خرد'!N79='برنامه خرد'!O79,'برنامه خرد'!N79,'برنامه خرد'!N79&amp;" + "&amp;'برنامه خرد'!O79)</f>
        <v>نظریه‌های روان‌درمانی پروچاسکا + آسیب‌شناسی روانی</v>
      </c>
      <c r="E88" s="367" t="str">
        <f>'برنامه خرد'!E79</f>
        <v>پارت ۱: بازیابی تجمعی + بازآموزی + مرور دفتر خطا + تست و تحلیل | پارت ۲: بازیابی تجمعی + بازآموزی + تست و تحلیل</v>
      </c>
      <c r="F88" s="1054" t="str">
        <f>'برنامه خرد'!G79</f>
        <v>انجام‌نشده</v>
      </c>
      <c r="G88" s="1058" t="n">
        <f>'برنامه خرد'!AB79</f>
        <v>0</v>
      </c>
      <c r="H88" s="1058" t="n">
        <f>'برنامه خرد'!AG79</f>
        <v>240</v>
      </c>
      <c r="I88" s="1061"/>
      <c r="J88" s="1064" t="str">
        <f>IF(I88="","",IFERROR(I88/H88,0))</f>
      </c>
      <c r="K88" s="1058" t="n">
        <f>'برنامه خرد'!AI79</f>
        <v>0</v>
      </c>
      <c r="L88" s="1061"/>
      <c r="M88" s="1064" t="str">
        <f>IF(OR(L88="",K88=0),"",IFERROR(L88/K88,0))</f>
      </c>
      <c r="N88" s="1058" t="n">
        <f>'برنامه خرد'!AJ79</f>
        <v>17</v>
      </c>
      <c r="O88" s="1061"/>
      <c r="P88" s="1064" t="str">
        <f>IF(O88="","",IFERROR(O88/N88,0))</f>
      </c>
      <c r="Q88" s="1061"/>
      <c r="R88" s="1061"/>
      <c r="S88" s="1061"/>
      <c r="T88" s="1042"/>
      <c r="U88" s="1042"/>
      <c r="V88" s="1042"/>
      <c r="W88" s="1064" t="str">
        <f>IF(COUNT(J88,M88,P88)=0,"",AVERAGE(J88,M88,P88))</f>
      </c>
      <c r="X88" s="680" t="str">
        <f>IF(I88="","",I88-H88)</f>
      </c>
      <c r="Y88" s="368" t="str">
        <f>IF(I88="","ثبت‌نشده",IF(W88&gt;=0.9,"مطلوب",IF(W88&gt;=0.6,"نسبی","نیازمند جبران")))</f>
        <v>ثبت‌نشده</v>
      </c>
      <c r="Z88" s="1066" t="n">
        <f>'برنامه خرد'!I79</f>
        <v>46314</v>
      </c>
      <c r="AA88" s="61" t="n">
        <f>IF(I88="",0,1)</f>
        <v>0</v>
      </c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1423"/>
      <c r="AZ88" s="1423"/>
      <c r="BA88" s="1423"/>
      <c r="BB88" s="1423"/>
      <c r="BC88" s="1423"/>
      <c r="BD88" s="1423"/>
      <c r="BE88" s="1423"/>
      <c r="BF88" s="1423"/>
      <c r="BG88" s="1423"/>
      <c r="BH88" s="1423"/>
      <c r="BI88" s="1423"/>
      <c r="BJ88" s="1423"/>
      <c r="BK88" s="1423"/>
      <c r="BL88" s="1423"/>
      <c r="BM88" s="1423"/>
    </row>
    <row r="89" ht="48" customHeight="1">
      <c r="A89" s="280" t="str">
        <f>'برنامه خرد'!A80</f>
        <v>۱۴۰۵/۰۷/۲۸</v>
      </c>
      <c r="B89" s="281" t="str">
        <f>'برنامه خرد'!B80</f>
        <v>سه‌شنبه</v>
      </c>
      <c r="C89" s="681" t="n">
        <f>'برنامه خرد'!K80</f>
        <v>12</v>
      </c>
      <c r="D89" s="281" t="str">
        <f>IF('برنامه خرد'!N80='برنامه خرد'!O80,'برنامه خرد'!N80,'برنامه خرد'!N80&amp;" + "&amp;'برنامه خرد'!O80)</f>
        <v>روان‌شناسی رشد کرین + نظریه‌های روان‌درمانی پروچاسکا</v>
      </c>
      <c r="E89" s="281" t="str">
        <f>'برنامه خرد'!E80</f>
        <v>پارت ۱: بازیابی تجمعی + بازآموزی + مرور دفتر خطا + تست و تحلیل | پارت ۲: بازیابی تجمعی + بازآموزی + تست و تحلیل</v>
      </c>
      <c r="F89" s="1054" t="str">
        <f>'برنامه خرد'!G80</f>
        <v>انجام‌نشده</v>
      </c>
      <c r="G89" s="1058" t="n">
        <f>'برنامه خرد'!AB80</f>
        <v>0</v>
      </c>
      <c r="H89" s="1058" t="n">
        <f>'برنامه خرد'!AG80</f>
        <v>240</v>
      </c>
      <c r="I89" s="1061"/>
      <c r="J89" s="1064" t="str">
        <f>IF(I89="","",IFERROR(I89/H89,0))</f>
      </c>
      <c r="K89" s="1058" t="n">
        <f>'برنامه خرد'!AI80</f>
        <v>0</v>
      </c>
      <c r="L89" s="1061"/>
      <c r="M89" s="1064" t="str">
        <f>IF(OR(L89="",K89=0),"",IFERROR(L89/K89,0))</f>
      </c>
      <c r="N89" s="1058" t="n">
        <f>'برنامه خرد'!AJ80</f>
        <v>17</v>
      </c>
      <c r="O89" s="1061"/>
      <c r="P89" s="1064" t="str">
        <f>IF(O89="","",IFERROR(O89/N89,0))</f>
      </c>
      <c r="Q89" s="1061"/>
      <c r="R89" s="1061"/>
      <c r="S89" s="1061"/>
      <c r="T89" s="1042"/>
      <c r="U89" s="1042"/>
      <c r="V89" s="1042"/>
      <c r="W89" s="1064" t="str">
        <f>IF(COUNT(J89,M89,P89)=0,"",AVERAGE(J89,M89,P89))</f>
      </c>
      <c r="X89" s="681" t="str">
        <f>IF(I89="","",I89-H89)</f>
      </c>
      <c r="Y89" s="282" t="str">
        <f>IF(I89="","ثبت‌نشده",IF(W89&gt;=0.9,"مطلوب",IF(W89&gt;=0.6,"نسبی","نیازمند جبران")))</f>
        <v>ثبت‌نشده</v>
      </c>
      <c r="Z89" s="1066" t="n">
        <f>'برنامه خرد'!I80</f>
        <v>46315</v>
      </c>
      <c r="AA89" s="61" t="n">
        <f>IF(I89="",0,1)</f>
        <v>0</v>
      </c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1423"/>
      <c r="AZ89" s="1423"/>
      <c r="BA89" s="1423"/>
      <c r="BB89" s="1423"/>
      <c r="BC89" s="1423"/>
      <c r="BD89" s="1423"/>
      <c r="BE89" s="1423"/>
      <c r="BF89" s="1423"/>
      <c r="BG89" s="1423"/>
      <c r="BH89" s="1423"/>
      <c r="BI89" s="1423"/>
      <c r="BJ89" s="1423"/>
      <c r="BK89" s="1423"/>
      <c r="BL89" s="1423"/>
      <c r="BM89" s="1423"/>
    </row>
    <row r="90" ht="48" customHeight="1">
      <c r="A90" s="366" t="str">
        <f>'برنامه خرد'!A81</f>
        <v>۱۴۰۵/۰۷/۲۹</v>
      </c>
      <c r="B90" s="367" t="str">
        <f>'برنامه خرد'!B81</f>
        <v>چهارشنبه</v>
      </c>
      <c r="C90" s="680" t="n">
        <f>'برنامه خرد'!K81</f>
        <v>12</v>
      </c>
      <c r="D90" s="367" t="str">
        <f>IF('برنامه خرد'!N81='برنامه خرد'!O81,'برنامه خرد'!N81,'برنامه خرد'!N81&amp;" + "&amp;'برنامه خرد'!O81)</f>
        <v>آسیب‌شناسی روانی + روان‌شناسی رشد کرین</v>
      </c>
      <c r="E90" s="367" t="str">
        <f>'برنامه خرد'!E81</f>
        <v>پارت ۱: بازیابی تجمعی + بازآموزی + مرور دفتر خطا + تست و تحلیل | پارت ۲: بازیابی تجمعی + بازآموزی + تست و تحلیل</v>
      </c>
      <c r="F90" s="1054" t="str">
        <f>'برنامه خرد'!G81</f>
        <v>انجام‌نشده</v>
      </c>
      <c r="G90" s="1058" t="n">
        <f>'برنامه خرد'!AB81</f>
        <v>0</v>
      </c>
      <c r="H90" s="1058" t="n">
        <f>'برنامه خرد'!AG81</f>
        <v>240</v>
      </c>
      <c r="I90" s="1061"/>
      <c r="J90" s="1064" t="str">
        <f>IF(I90="","",IFERROR(I90/H90,0))</f>
      </c>
      <c r="K90" s="1058" t="n">
        <f>'برنامه خرد'!AI81</f>
        <v>0</v>
      </c>
      <c r="L90" s="1061"/>
      <c r="M90" s="1064" t="str">
        <f>IF(OR(L90="",K90=0),"",IFERROR(L90/K90,0))</f>
      </c>
      <c r="N90" s="1058" t="n">
        <f>'برنامه خرد'!AJ81</f>
        <v>17</v>
      </c>
      <c r="O90" s="1061"/>
      <c r="P90" s="1064" t="str">
        <f>IF(O90="","",IFERROR(O90/N90,0))</f>
      </c>
      <c r="Q90" s="1061"/>
      <c r="R90" s="1061"/>
      <c r="S90" s="1061"/>
      <c r="T90" s="1042"/>
      <c r="U90" s="1042"/>
      <c r="V90" s="1042"/>
      <c r="W90" s="1064" t="str">
        <f>IF(COUNT(J90,M90,P90)=0,"",AVERAGE(J90,M90,P90))</f>
      </c>
      <c r="X90" s="680" t="str">
        <f>IF(I90="","",I90-H90)</f>
      </c>
      <c r="Y90" s="368" t="str">
        <f>IF(I90="","ثبت‌نشده",IF(W90&gt;=0.9,"مطلوب",IF(W90&gt;=0.6,"نسبی","نیازمند جبران")))</f>
        <v>ثبت‌نشده</v>
      </c>
      <c r="Z90" s="1066" t="n">
        <f>'برنامه خرد'!I81</f>
        <v>46316</v>
      </c>
      <c r="AA90" s="61" t="n">
        <f>IF(I90="",0,1)</f>
        <v>0</v>
      </c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1423"/>
      <c r="AZ90" s="1423"/>
      <c r="BA90" s="1423"/>
      <c r="BB90" s="1423"/>
      <c r="BC90" s="1423"/>
      <c r="BD90" s="1423"/>
      <c r="BE90" s="1423"/>
      <c r="BF90" s="1423"/>
      <c r="BG90" s="1423"/>
      <c r="BH90" s="1423"/>
      <c r="BI90" s="1423"/>
      <c r="BJ90" s="1423"/>
      <c r="BK90" s="1423"/>
      <c r="BL90" s="1423"/>
      <c r="BM90" s="1423"/>
    </row>
    <row r="91" ht="48" customHeight="1">
      <c r="A91" s="283" t="str">
        <f>'برنامه خرد'!A82</f>
        <v>۱۴۰۵/۰۷/۳۰</v>
      </c>
      <c r="B91" s="284" t="str">
        <f>'برنامه خرد'!B82</f>
        <v>پنجشنبه</v>
      </c>
      <c r="C91" s="682" t="n">
        <f>'برنامه خرد'!K82</f>
        <v>12</v>
      </c>
      <c r="D91" s="284" t="str">
        <f>IF('برنامه خرد'!N82='برنامه خرد'!O82,'برنامه خرد'!N82,'برنامه خرد'!N82&amp;" + "&amp;'برنامه خرد'!O82)</f>
        <v>نظریه‌های روان‌درمانی پروچاسکا</v>
      </c>
      <c r="E91" s="284" t="str">
        <f>'برنامه خرد'!E82</f>
        <v>پارت ۱: بازیابی تجمعی + بازآموزی + مرور دفتر خطا + تست و تحلیل | پارت ۲: بازیابی تجمعی + بازآموزی + تست و تحلیل</v>
      </c>
      <c r="F91" s="1055" t="str">
        <f>'برنامه خرد'!G82</f>
        <v>انجام‌نشده</v>
      </c>
      <c r="G91" s="1059" t="n">
        <f>'برنامه خرد'!AB82</f>
        <v>0</v>
      </c>
      <c r="H91" s="1059" t="n">
        <f>'برنامه خرد'!AG82</f>
        <v>240</v>
      </c>
      <c r="I91" s="1062"/>
      <c r="J91" s="1065" t="str">
        <f>IF(I91="","",IFERROR(I91/H91,0))</f>
      </c>
      <c r="K91" s="1059" t="n">
        <f>'برنامه خرد'!AI82</f>
        <v>0</v>
      </c>
      <c r="L91" s="1062"/>
      <c r="M91" s="1065" t="str">
        <f>IF(OR(L91="",K91=0),"",IFERROR(L91/K91,0))</f>
      </c>
      <c r="N91" s="1059" t="n">
        <f>'برنامه خرد'!AJ82</f>
        <v>17</v>
      </c>
      <c r="O91" s="1062"/>
      <c r="P91" s="1065" t="str">
        <f>IF(O91="","",IFERROR(O91/N91,0))</f>
      </c>
      <c r="Q91" s="1062"/>
      <c r="R91" s="1062"/>
      <c r="S91" s="1062"/>
      <c r="T91" s="1043"/>
      <c r="U91" s="1043"/>
      <c r="V91" s="1043"/>
      <c r="W91" s="1065" t="str">
        <f>IF(COUNT(J91,M91,P91)=0,"",AVERAGE(J91,M91,P91))</f>
      </c>
      <c r="X91" s="682" t="str">
        <f>IF(I91="","",I91-H91)</f>
      </c>
      <c r="Y91" s="285" t="str">
        <f>IF(I91="","ثبت‌نشده",IF(W91&gt;=0.9,"مطلوب",IF(W91&gt;=0.6,"نسبی","نیازمند جبران")))</f>
        <v>ثبت‌نشده</v>
      </c>
      <c r="Z91" s="1066" t="n">
        <f>'برنامه خرد'!I82</f>
        <v>46317</v>
      </c>
      <c r="AA91" s="61" t="n">
        <f>IF(I91="",0,1)</f>
        <v>0</v>
      </c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1423"/>
      <c r="AZ91" s="1423"/>
      <c r="BA91" s="1423"/>
      <c r="BB91" s="1423"/>
      <c r="BC91" s="1423"/>
      <c r="BD91" s="1423"/>
      <c r="BE91" s="1423"/>
      <c r="BF91" s="1423"/>
      <c r="BG91" s="1423"/>
      <c r="BH91" s="1423"/>
      <c r="BI91" s="1423"/>
      <c r="BJ91" s="1423"/>
      <c r="BK91" s="1423"/>
      <c r="BL91" s="1423"/>
      <c r="BM91" s="1423"/>
    </row>
    <row r="92">
      <c r="A92" s="720"/>
      <c r="B92" s="720"/>
      <c r="C92" s="720"/>
      <c r="D92" s="720"/>
      <c r="E92" s="720"/>
      <c r="F92" s="720"/>
      <c r="G92" s="720"/>
      <c r="H92" s="720"/>
      <c r="I92" s="720"/>
      <c r="J92" s="720"/>
      <c r="K92" s="720"/>
      <c r="L92" s="720"/>
      <c r="M92" s="720"/>
      <c r="N92" s="720"/>
      <c r="O92" s="720"/>
      <c r="P92" s="720"/>
      <c r="Q92" s="720"/>
      <c r="R92" s="720"/>
      <c r="S92" s="720"/>
      <c r="T92" s="720"/>
      <c r="U92" s="720"/>
      <c r="V92" s="720"/>
      <c r="W92" s="720"/>
      <c r="X92" s="720"/>
      <c r="Y92" s="720"/>
      <c r="Z92" s="720"/>
      <c r="AA92" s="720"/>
      <c r="AB92" s="720"/>
      <c r="AC92" s="720"/>
      <c r="AD92" s="720"/>
      <c r="AE92" s="720"/>
      <c r="AF92" s="720"/>
      <c r="AG92" s="720"/>
      <c r="AH92" s="720"/>
      <c r="AI92" s="720"/>
      <c r="AJ92" s="720"/>
      <c r="AK92" s="720"/>
      <c r="AL92" s="720"/>
      <c r="AM92" s="720"/>
      <c r="AN92" s="720"/>
      <c r="AO92" s="720"/>
      <c r="AP92" s="720"/>
      <c r="AQ92" s="720"/>
      <c r="AR92" s="720"/>
      <c r="AS92" s="720"/>
      <c r="AT92" s="720"/>
      <c r="AU92" s="720"/>
      <c r="AV92" s="720"/>
      <c r="AW92" s="720"/>
      <c r="AX92" s="720"/>
    </row>
    <row r="93">
      <c r="A93" s="720"/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720"/>
      <c r="AB93" s="720"/>
      <c r="AC93" s="720"/>
      <c r="AD93" s="720"/>
      <c r="AE93" s="720"/>
      <c r="AF93" s="720"/>
      <c r="AG93" s="720"/>
      <c r="AH93" s="720"/>
      <c r="AI93" s="720"/>
      <c r="AJ93" s="720"/>
      <c r="AK93" s="720"/>
      <c r="AL93" s="720"/>
      <c r="AM93" s="720"/>
      <c r="AN93" s="720"/>
      <c r="AO93" s="720"/>
      <c r="AP93" s="720"/>
      <c r="AQ93" s="720"/>
      <c r="AR93" s="720"/>
      <c r="AS93" s="720"/>
      <c r="AT93" s="720"/>
      <c r="AU93" s="720"/>
      <c r="AV93" s="720"/>
      <c r="AW93" s="720"/>
      <c r="AX93" s="720"/>
    </row>
    <row r="94">
      <c r="A94" s="720"/>
      <c r="B94" s="720"/>
      <c r="C94" s="720"/>
      <c r="D94" s="720"/>
      <c r="E94" s="720"/>
      <c r="F94" s="720"/>
      <c r="G94" s="720"/>
      <c r="H94" s="720"/>
      <c r="I94" s="720"/>
      <c r="J94" s="720"/>
      <c r="K94" s="720"/>
      <c r="L94" s="720"/>
      <c r="M94" s="720"/>
      <c r="N94" s="720"/>
      <c r="O94" s="720"/>
      <c r="P94" s="720"/>
      <c r="Q94" s="720"/>
      <c r="R94" s="720"/>
      <c r="S94" s="720"/>
      <c r="T94" s="720"/>
      <c r="U94" s="720"/>
      <c r="V94" s="720"/>
      <c r="W94" s="720"/>
      <c r="X94" s="720"/>
      <c r="Y94" s="720"/>
      <c r="Z94" s="720"/>
      <c r="AA94" s="720"/>
      <c r="AB94" s="720"/>
      <c r="AC94" s="720"/>
      <c r="AD94" s="720"/>
      <c r="AE94" s="720"/>
      <c r="AF94" s="720"/>
      <c r="AG94" s="720"/>
      <c r="AH94" s="720"/>
      <c r="AI94" s="720"/>
      <c r="AJ94" s="720"/>
      <c r="AK94" s="720"/>
      <c r="AL94" s="720"/>
      <c r="AM94" s="720"/>
      <c r="AN94" s="720"/>
      <c r="AO94" s="720"/>
      <c r="AP94" s="720"/>
      <c r="AQ94" s="720"/>
      <c r="AR94" s="720"/>
      <c r="AS94" s="720"/>
      <c r="AT94" s="720"/>
      <c r="AU94" s="720"/>
      <c r="AV94" s="720"/>
      <c r="AW94" s="720"/>
      <c r="AX94" s="720"/>
    </row>
    <row r="95">
      <c r="A95" s="720"/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0"/>
      <c r="P95" s="720"/>
      <c r="Q95" s="720"/>
      <c r="R95" s="720"/>
      <c r="S95" s="720"/>
      <c r="T95" s="720"/>
      <c r="U95" s="720"/>
      <c r="V95" s="720"/>
      <c r="W95" s="720"/>
      <c r="X95" s="720"/>
      <c r="Y95" s="720"/>
      <c r="Z95" s="720"/>
      <c r="AA95" s="720"/>
      <c r="AB95" s="720"/>
      <c r="AC95" s="720"/>
      <c r="AD95" s="720"/>
      <c r="AE95" s="720"/>
      <c r="AF95" s="720"/>
      <c r="AG95" s="720"/>
      <c r="AH95" s="720"/>
      <c r="AI95" s="720"/>
      <c r="AJ95" s="720"/>
      <c r="AK95" s="720"/>
      <c r="AL95" s="720"/>
      <c r="AM95" s="720"/>
      <c r="AN95" s="720"/>
      <c r="AO95" s="720"/>
      <c r="AP95" s="720"/>
      <c r="AQ95" s="720"/>
      <c r="AR95" s="720"/>
      <c r="AS95" s="720"/>
      <c r="AT95" s="720"/>
      <c r="AU95" s="720"/>
      <c r="AV95" s="720"/>
      <c r="AW95" s="720"/>
      <c r="AX95" s="720"/>
    </row>
    <row r="96">
      <c r="A96" s="720"/>
      <c r="B96" s="720"/>
      <c r="C96" s="720"/>
      <c r="D96" s="720"/>
      <c r="E96" s="720"/>
      <c r="F96" s="720"/>
      <c r="G96" s="720"/>
      <c r="H96" s="720"/>
      <c r="I96" s="720"/>
      <c r="J96" s="720"/>
      <c r="K96" s="720"/>
      <c r="L96" s="720"/>
      <c r="M96" s="720"/>
      <c r="N96" s="720"/>
      <c r="O96" s="720"/>
      <c r="P96" s="720"/>
      <c r="Q96" s="720"/>
      <c r="R96" s="720"/>
      <c r="S96" s="720"/>
      <c r="T96" s="720"/>
      <c r="U96" s="720"/>
      <c r="V96" s="720"/>
      <c r="W96" s="720"/>
      <c r="X96" s="720"/>
      <c r="Y96" s="720"/>
      <c r="Z96" s="720"/>
      <c r="AA96" s="720"/>
      <c r="AB96" s="720"/>
      <c r="AC96" s="720"/>
      <c r="AD96" s="720"/>
      <c r="AE96" s="720"/>
      <c r="AF96" s="720"/>
      <c r="AG96" s="720"/>
      <c r="AH96" s="720"/>
      <c r="AI96" s="720"/>
      <c r="AJ96" s="720"/>
      <c r="AK96" s="720"/>
      <c r="AL96" s="720"/>
      <c r="AM96" s="720"/>
      <c r="AN96" s="720"/>
      <c r="AO96" s="720"/>
      <c r="AP96" s="720"/>
      <c r="AQ96" s="720"/>
      <c r="AR96" s="720"/>
      <c r="AS96" s="720"/>
      <c r="AT96" s="720"/>
      <c r="AU96" s="720"/>
      <c r="AV96" s="720"/>
      <c r="AW96" s="720"/>
      <c r="AX96" s="720"/>
    </row>
    <row r="97">
      <c r="A97" s="720"/>
      <c r="B97" s="720"/>
      <c r="C97" s="720"/>
      <c r="D97" s="720"/>
      <c r="E97" s="720"/>
      <c r="F97" s="720"/>
      <c r="G97" s="720"/>
      <c r="H97" s="720"/>
      <c r="I97" s="720"/>
      <c r="J97" s="720"/>
      <c r="K97" s="720"/>
      <c r="L97" s="720"/>
      <c r="M97" s="720"/>
      <c r="N97" s="720"/>
      <c r="O97" s="720"/>
      <c r="P97" s="720"/>
      <c r="Q97" s="720"/>
      <c r="R97" s="720"/>
      <c r="S97" s="720"/>
      <c r="T97" s="720"/>
      <c r="U97" s="720"/>
      <c r="V97" s="720"/>
      <c r="W97" s="720"/>
      <c r="X97" s="720"/>
      <c r="Y97" s="720"/>
      <c r="Z97" s="720"/>
      <c r="AA97" s="720"/>
      <c r="AB97" s="720"/>
      <c r="AC97" s="720"/>
      <c r="AD97" s="720"/>
      <c r="AE97" s="720"/>
      <c r="AF97" s="720"/>
      <c r="AG97" s="720"/>
      <c r="AH97" s="720"/>
      <c r="AI97" s="720"/>
      <c r="AJ97" s="720"/>
      <c r="AK97" s="720"/>
      <c r="AL97" s="720"/>
      <c r="AM97" s="720"/>
      <c r="AN97" s="720"/>
      <c r="AO97" s="720"/>
      <c r="AP97" s="720"/>
      <c r="AQ97" s="720"/>
      <c r="AR97" s="720"/>
      <c r="AS97" s="720"/>
      <c r="AT97" s="720"/>
      <c r="AU97" s="720"/>
      <c r="AV97" s="720"/>
      <c r="AW97" s="720"/>
      <c r="AX97" s="720"/>
    </row>
    <row r="98">
      <c r="A98" s="720"/>
      <c r="B98" s="720"/>
      <c r="C98" s="720"/>
      <c r="D98" s="720"/>
      <c r="E98" s="720"/>
      <c r="F98" s="720"/>
      <c r="G98" s="720"/>
      <c r="H98" s="720"/>
      <c r="I98" s="720"/>
      <c r="J98" s="720"/>
      <c r="K98" s="720"/>
      <c r="L98" s="720"/>
      <c r="M98" s="720"/>
      <c r="N98" s="720"/>
      <c r="O98" s="720"/>
      <c r="P98" s="720"/>
      <c r="Q98" s="720"/>
      <c r="R98" s="720"/>
      <c r="S98" s="720"/>
      <c r="T98" s="720"/>
      <c r="U98" s="720"/>
      <c r="V98" s="720"/>
      <c r="W98" s="720"/>
      <c r="X98" s="720"/>
      <c r="Y98" s="720"/>
      <c r="Z98" s="720"/>
      <c r="AA98" s="720"/>
      <c r="AB98" s="720"/>
      <c r="AC98" s="720"/>
      <c r="AD98" s="720"/>
      <c r="AE98" s="720"/>
      <c r="AF98" s="720"/>
      <c r="AG98" s="720"/>
      <c r="AH98" s="720"/>
      <c r="AI98" s="720"/>
      <c r="AJ98" s="720"/>
      <c r="AK98" s="720"/>
      <c r="AL98" s="720"/>
      <c r="AM98" s="720"/>
      <c r="AN98" s="720"/>
      <c r="AO98" s="720"/>
      <c r="AP98" s="720"/>
      <c r="AQ98" s="720"/>
      <c r="AR98" s="720"/>
      <c r="AS98" s="720"/>
      <c r="AT98" s="720"/>
      <c r="AU98" s="720"/>
      <c r="AV98" s="720"/>
      <c r="AW98" s="720"/>
      <c r="AX98" s="720"/>
    </row>
    <row r="99">
      <c r="A99" s="720"/>
      <c r="B99" s="720"/>
      <c r="C99" s="720"/>
      <c r="D99" s="720"/>
      <c r="E99" s="720"/>
      <c r="F99" s="720"/>
      <c r="G99" s="720"/>
      <c r="H99" s="720"/>
      <c r="I99" s="720"/>
      <c r="J99" s="720"/>
      <c r="K99" s="720"/>
      <c r="L99" s="720"/>
      <c r="M99" s="720"/>
      <c r="N99" s="720"/>
      <c r="O99" s="720"/>
      <c r="P99" s="720"/>
      <c r="Q99" s="720"/>
      <c r="R99" s="720"/>
      <c r="S99" s="720"/>
      <c r="T99" s="720"/>
      <c r="U99" s="720"/>
      <c r="V99" s="720"/>
      <c r="W99" s="720"/>
      <c r="X99" s="720"/>
      <c r="Y99" s="720"/>
      <c r="Z99" s="720"/>
      <c r="AA99" s="720"/>
      <c r="AB99" s="720"/>
      <c r="AC99" s="720"/>
      <c r="AD99" s="720"/>
      <c r="AE99" s="720"/>
      <c r="AF99" s="720"/>
      <c r="AG99" s="720"/>
      <c r="AH99" s="720"/>
      <c r="AI99" s="720"/>
      <c r="AJ99" s="720"/>
      <c r="AK99" s="720"/>
      <c r="AL99" s="720"/>
      <c r="AM99" s="720"/>
      <c r="AN99" s="720"/>
      <c r="AO99" s="720"/>
      <c r="AP99" s="720"/>
      <c r="AQ99" s="720"/>
      <c r="AR99" s="720"/>
      <c r="AS99" s="720"/>
      <c r="AT99" s="720"/>
      <c r="AU99" s="720"/>
      <c r="AV99" s="720"/>
      <c r="AW99" s="720"/>
      <c r="AX99" s="720"/>
    </row>
    <row r="100">
      <c r="A100" s="720"/>
      <c r="B100" s="720"/>
      <c r="C100" s="720"/>
      <c r="D100" s="720"/>
      <c r="E100" s="720"/>
      <c r="F100" s="720"/>
      <c r="G100" s="720"/>
      <c r="H100" s="720"/>
      <c r="I100" s="720"/>
      <c r="J100" s="720"/>
      <c r="K100" s="720"/>
      <c r="L100" s="720"/>
      <c r="M100" s="720"/>
      <c r="N100" s="720"/>
      <c r="O100" s="720"/>
      <c r="P100" s="720"/>
      <c r="Q100" s="720"/>
      <c r="R100" s="720"/>
      <c r="S100" s="720"/>
      <c r="T100" s="720"/>
      <c r="U100" s="720"/>
      <c r="V100" s="720"/>
      <c r="W100" s="720"/>
      <c r="X100" s="720"/>
      <c r="Y100" s="720"/>
      <c r="Z100" s="720"/>
      <c r="AA100" s="720"/>
      <c r="AB100" s="720"/>
      <c r="AC100" s="720"/>
      <c r="AD100" s="720"/>
      <c r="AE100" s="720"/>
      <c r="AF100" s="720"/>
      <c r="AG100" s="720"/>
      <c r="AH100" s="720"/>
      <c r="AI100" s="720"/>
      <c r="AJ100" s="720"/>
      <c r="AK100" s="720"/>
      <c r="AL100" s="720"/>
      <c r="AM100" s="720"/>
      <c r="AN100" s="720"/>
      <c r="AO100" s="720"/>
      <c r="AP100" s="720"/>
      <c r="AQ100" s="720"/>
      <c r="AR100" s="720"/>
      <c r="AS100" s="720"/>
      <c r="AT100" s="720"/>
      <c r="AU100" s="720"/>
      <c r="AV100" s="720"/>
      <c r="AW100" s="720"/>
      <c r="AX100" s="720"/>
    </row>
  </sheetData>
  <mergeCells>
    <mergeCell ref="A1:Y2"/>
    <mergeCell ref="A3:Y3"/>
    <mergeCell ref="A5:D5"/>
    <mergeCell ref="A6:D7"/>
    <mergeCell ref="E5:H5"/>
    <mergeCell ref="E6:H7"/>
    <mergeCell ref="I5:L5"/>
    <mergeCell ref="I6:L7"/>
    <mergeCell ref="M5:P5"/>
    <mergeCell ref="M6:P7"/>
    <mergeCell ref="Q5:T5"/>
    <mergeCell ref="Q6:T7"/>
    <mergeCell ref="U5:Y5"/>
    <mergeCell ref="U6:Y7"/>
  </mergeCells>
  <conditionalFormatting sqref="J11:J91">
    <cfRule type="colorScale" priority="1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M11:M91">
    <cfRule type="colorScale" priority="2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P11:P91">
    <cfRule type="colorScale" priority="3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W11:W91">
    <cfRule type="colorScale" priority="4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F11:F91">
    <cfRule type="expression" dxfId="38" priority="5">
      <formula>F11="انجام‌شده"</formula>
    </cfRule>
    <cfRule type="expression" dxfId="39" priority="6">
      <formula>F11="نیمه‌انجام"</formula>
    </cfRule>
    <cfRule type="expression" dxfId="40" priority="7">
      <formula>F11="انجام‌نشده"</formula>
    </cfRule>
  </conditionalFormatting>
  <conditionalFormatting sqref="Y11:Y91">
    <cfRule type="expression" dxfId="41" priority="8">
      <formula>Y11="مطلوب"</formula>
    </cfRule>
    <cfRule type="expression" dxfId="42" priority="9">
      <formula>Y11="نسبی"</formula>
    </cfRule>
    <cfRule type="expression" dxfId="43" priority="10">
      <formula>Y11="نیازمند جبران"</formula>
    </cfRule>
    <cfRule type="expression" dxfId="44" priority="11">
      <formula>Y11="ثبت‌نشده"</formula>
    </cfRule>
  </conditionalFormatting>
  <conditionalFormatting sqref="X11:X91">
    <cfRule type="expression" dxfId="45" priority="12">
      <formula>X11&lt;0</formula>
    </cfRule>
    <cfRule type="expression" dxfId="46" priority="13">
      <formula>X11&gt;=0</formula>
    </cfRule>
  </conditionalFormatting>
  <conditionalFormatting sqref="A11:Y91">
    <cfRule type="expression" dxfId="52" priority="14">
      <formula>$Z11=TODAY()</formula>
    </cfRule>
  </conditionalFormatting>
  <dataValidations count="2">
    <dataValidation type="list" sqref="R11:R91">
      <formula1>"1,2,3,4,5"</formula1>
    </dataValidation>
    <dataValidation type="list" sqref="S11:S91">
      <formula1>"1,2,3,4,5"</formula1>
    </dataValidation>
  </dataValidations>
  <pageMargins left="0.7" right="0.7" top="0.75" bottom="0.75" header="0.3" footer="0.3"/>
  <drawing ns1:id="Rc1116a6a8b6b43a7"/>
  <tableParts count="1">
    <tablePart ns1:id="R21839d5493f2421e"/>
  </tableParts>
</worksheet>
</file>

<file path=xl/worksheets/sheet6.xml><?xml version="1.0" encoding="utf-8"?>
<worksheet xmlns="http://schemas.openxmlformats.org/spreadsheetml/2006/main" xmlns:ns1="http://schemas.microsoft.com/office/spreadsheetml/2009/9/main" xmlns:ns2="http://schemas.openxmlformats.org/officeDocument/2006/relationships" xmlns:ns3="http://schemas.microsoft.com/office/excel/2006/main">
  <sheetViews>
    <sheetView showGridLines="0" workbookViewId="0" rightToLeft="1"/>
  </sheetViews>
  <sheetFormatPr defaultRowHeight="15"/>
  <cols>
    <col min="1" max="1" width="9" hidden="0" customWidth="1"/>
    <col min="2" max="2" width="25" hidden="0" customWidth="1"/>
    <col min="3" max="3" width="11" hidden="0" customWidth="1"/>
    <col min="4" max="4" width="13" hidden="0" customWidth="1"/>
    <col min="5" max="5" width="13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2" hidden="0" customWidth="1"/>
    <col min="11" max="11" width="12" hidden="0" customWidth="1"/>
    <col min="12" max="12" width="12" hidden="0" customWidth="1"/>
    <col min="13" max="13" width="14" hidden="0" customWidth="1"/>
    <col min="14" max="14" width="14" hidden="0" customWidth="1"/>
    <col min="15" max="15" width="13" hidden="0" customWidth="1"/>
    <col min="16" max="16" width="14" hidden="0" customWidth="1"/>
    <col min="17" max="17" width="14" hidden="0" customWidth="1"/>
    <col min="18" max="18" width="14" hidden="0" customWidth="1"/>
    <col min="19" max="19" width="15" hidden="0" customWidth="1"/>
    <col min="20" max="20" width="15" hidden="0" customWidth="1"/>
    <col min="21" max="21" width="16" hidden="0" customWidth="1"/>
    <col min="22" max="22" width="35" hidden="0" customWidth="1"/>
    <col min="23" max="23" width="34" hidden="0" customWidth="1"/>
  </cols>
  <sheetData>
    <row r="1">
      <c r="A1" s="274" t="str">
        <v>گزارش هفتگی مطالعه و سنجش میزان عمل به برنامه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</row>
    <row r="2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</row>
    <row r="3">
      <c r="A3" s="565" t="str">
        <v>این شیت به‌صورت خودکار از «گزارش روزانه» و وضعیت‌های انتخاب‌شده در «برنامه خرد» تکمیل می‌شود.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</row>
    <row r="4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</row>
    <row r="5">
      <c r="A5" s="1431" t="str">
        <v>تعداد هفته‌ها</v>
      </c>
      <c r="B5" s="1431"/>
      <c r="C5" s="1431"/>
      <c r="D5" s="1431"/>
      <c r="E5" s="712" t="str">
        <v>ساعت واقعی ثبت‌شده</v>
      </c>
      <c r="F5" s="712"/>
      <c r="G5" s="712"/>
      <c r="H5" s="712"/>
      <c r="I5" s="640" t="str">
        <v>تحقق زمانی کل</v>
      </c>
      <c r="J5" s="640"/>
      <c r="K5" s="640"/>
      <c r="L5" s="640"/>
      <c r="M5" s="1432" t="str">
        <v>پیشرفت چک‌لیست هفتگی</v>
      </c>
      <c r="N5" s="1432"/>
      <c r="O5" s="1432"/>
      <c r="P5" s="1432"/>
      <c r="Q5" s="639" t="str">
        <v>میانگین تمرکز</v>
      </c>
      <c r="R5" s="639"/>
      <c r="S5" s="639"/>
      <c r="T5" s="639"/>
      <c r="U5" s="1446" t="str">
        <v>روزهای بدون گزارش</v>
      </c>
      <c r="V5" s="1446"/>
      <c r="W5" s="1446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</row>
    <row r="6">
      <c r="A6" s="1434" t="n">
        <f>COUNT(A11:A22)</f>
        <v>12</v>
      </c>
      <c r="B6" s="582"/>
      <c r="C6" s="582"/>
      <c r="D6" s="583"/>
      <c r="E6" s="1447" t="n">
        <f>SUM(E11:E22)/60</f>
        <v>0</v>
      </c>
      <c r="F6" s="585"/>
      <c r="G6" s="585"/>
      <c r="H6" s="586"/>
      <c r="I6" s="1436" t="n">
        <f>IFERROR(SUM(E11:E22)/SUM(D11:D22),0)</f>
        <v>0</v>
      </c>
      <c r="J6" s="588"/>
      <c r="K6" s="588"/>
      <c r="L6" s="589"/>
      <c r="M6" s="593" t="n">
        <f>IFERROR(SUM(O11:O22)+0.5*SUM(P11:P22),SUM(C11:C22))</f>
        <v>0</v>
      </c>
      <c r="N6" s="594"/>
      <c r="O6" s="594"/>
      <c r="P6" s="595"/>
      <c r="Q6" s="1448" t="n">
        <f>IFERROR(AVERAGE(M11:M22),0)</f>
        <v>0</v>
      </c>
      <c r="R6" s="591"/>
      <c r="S6" s="591"/>
      <c r="T6" s="592"/>
      <c r="U6" s="1449" t="n">
        <f>SUM(T11:T22)</f>
        <v>81</v>
      </c>
      <c r="V6" s="1450"/>
      <c r="W6" s="145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</row>
    <row r="7">
      <c r="A7" s="596"/>
      <c r="B7" s="597"/>
      <c r="C7" s="597"/>
      <c r="D7" s="598"/>
      <c r="E7" s="599"/>
      <c r="F7" s="600"/>
      <c r="G7" s="600"/>
      <c r="H7" s="601"/>
      <c r="I7" s="602"/>
      <c r="J7" s="603"/>
      <c r="K7" s="603"/>
      <c r="L7" s="604"/>
      <c r="M7" s="608"/>
      <c r="N7" s="609"/>
      <c r="O7" s="609"/>
      <c r="P7" s="610"/>
      <c r="Q7" s="605"/>
      <c r="R7" s="606"/>
      <c r="S7" s="606"/>
      <c r="T7" s="607"/>
      <c r="U7" s="1452"/>
      <c r="V7" s="1453"/>
      <c r="W7" s="1454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</row>
    <row r="9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</row>
    <row r="10" ht="55" customHeight="1">
      <c r="A10" s="644" t="str">
        <v>هفته</v>
      </c>
      <c r="B10" s="645" t="str">
        <v>بازهٔ تاریخ</v>
      </c>
      <c r="C10" s="645" t="str">
        <v>تعداد روز</v>
      </c>
      <c r="D10" s="645" t="str">
        <v>دقیقهٔ برنامه</v>
      </c>
      <c r="E10" s="645" t="str">
        <v>دقیقهٔ واقعی</v>
      </c>
      <c r="F10" s="645" t="str">
        <v>تحقق زمانی</v>
      </c>
      <c r="G10" s="645" t="str">
        <v>صفحات برنامه</v>
      </c>
      <c r="H10" s="645" t="str">
        <v>صفحات واقعی</v>
      </c>
      <c r="I10" s="645" t="str">
        <v>تحقق صفحات</v>
      </c>
      <c r="J10" s="645" t="str">
        <v>تست برنامه</v>
      </c>
      <c r="K10" s="645" t="str">
        <v>تست واقعی</v>
      </c>
      <c r="L10" s="645" t="str">
        <v>تحقق تست</v>
      </c>
      <c r="M10" s="645" t="str">
        <v>میانگین تمرکز</v>
      </c>
      <c r="N10" s="645" t="str">
        <v>میانگین انرژی</v>
      </c>
      <c r="O10" s="645" t="str">
        <v>روز انجام‌شده</v>
      </c>
      <c r="P10" s="645" t="str">
        <v>روز نیمه‌انجام</v>
      </c>
      <c r="Q10" s="645" t="str">
        <v>روز انجام‌نشده</v>
      </c>
      <c r="R10" s="645" t="str">
        <v>امتیاز چک‌لیست</v>
      </c>
      <c r="S10" s="645" t="str">
        <v>روزهای دارای گزارش</v>
      </c>
      <c r="T10" s="645" t="str">
        <v>روزهای بدون گزارش</v>
      </c>
      <c r="U10" s="645" t="str">
        <v>امتیاز ترکیبی هفته</v>
      </c>
      <c r="V10" s="645" t="str">
        <v>جمع‌بندی خودکار</v>
      </c>
      <c r="W10" s="646" t="str">
        <v>یادداشت هفتگی تکمیلی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</row>
    <row r="11" ht="58" customHeight="1">
      <c r="A11" s="672" t="n">
        <v>1</v>
      </c>
      <c r="B11" s="287" t="str">
        <v>۱۴۰۵/۰۵/۱۲ تا ۱۴۰۵/۰۵/۱۶</v>
      </c>
      <c r="C11" s="673" t="n">
        <f>COUNTIF('گزارش روزانه'!$C$11:$C$91,A11)</f>
        <v>5</v>
      </c>
      <c r="D11" s="673" t="n">
        <f>SUMIF('گزارش روزانه'!$C$11:$C$91,A11,'گزارش روزانه'!$H$11:$H$91)</f>
        <v>1200</v>
      </c>
      <c r="E11" s="673" t="n">
        <f>SUMIF('گزارش روزانه'!$C$11:$C$91,A11,'گزارش روزانه'!$I$11:$I$91)</f>
        <v>0</v>
      </c>
      <c r="F11" s="301" t="n">
        <f>IFERROR(E11/D11,0)</f>
        <v>0</v>
      </c>
      <c r="G11" s="673" t="n">
        <f>SUMIF('گزارش روزانه'!$C$11:$C$91,A11,'گزارش روزانه'!$K$11:$K$91)</f>
        <v>140</v>
      </c>
      <c r="H11" s="673" t="n">
        <f>SUMIF('گزارش روزانه'!$C$11:$C$91,A11,'گزارش روزانه'!$L$11:$L$91)</f>
        <v>0</v>
      </c>
      <c r="I11" s="301" t="n">
        <f>IFERROR(H11/G11,0)</f>
        <v>0</v>
      </c>
      <c r="J11" s="673" t="n">
        <f>SUMIF('گزارش روزانه'!$C$11:$C$91,A11,'گزارش روزانه'!$N$11:$N$91)</f>
        <v>85</v>
      </c>
      <c r="K11" s="673" t="n">
        <f>SUMIF('گزارش روزانه'!$C$11:$C$91,A11,'گزارش روزانه'!$O$11:$O$91)</f>
        <v>0</v>
      </c>
      <c r="L11" s="301" t="n">
        <f>IFERROR(K11/J11,0)</f>
        <v>0</v>
      </c>
      <c r="M11" s="1101" t="n">
        <f>IFERROR(SUMIF('گزارش روزانه'!$C$11:$C$91,A11,'گزارش روزانه'!$R$11:$R$91)/COUNTIFS('گزارش روزانه'!$C$11:$C$91,A11,'گزارش روزانه'!$R$11:$R$91,"&gt;0"),0)</f>
        <v>0</v>
      </c>
      <c r="N11" s="1101" t="n">
        <f>IFERROR(SUMIF('گزارش روزانه'!$C$11:$C$91,A11,'گزارش روزانه'!$S$11:$S$91)/COUNTIFS('گزارش روزانه'!$C$11:$C$91,A11,'گزارش روزانه'!$S$11:$S$91,"&gt;0"),0)</f>
        <v>0</v>
      </c>
      <c r="O11" s="673" t="n">
        <f>COUNTIFS('گزارش روزانه'!$C$11:$C$91,A11,'گزارش روزانه'!$F$11:$F$91,"انجام‌شده")</f>
        <v>0</v>
      </c>
      <c r="P11" s="673" t="n">
        <f>COUNTIFS('گزارش روزانه'!$C$11:$C$91,A11,'گزارش روزانه'!$F$11:$F$91,"نیمه‌انجام")</f>
        <v>0</v>
      </c>
      <c r="Q11" s="673" t="n">
        <f>COUNTIFS('گزارش روزانه'!$C$11:$C$91,A11,'گزارش روزانه'!$F$11:$F$91,"انجام‌نشده")</f>
        <v>5</v>
      </c>
      <c r="R11" s="301" t="n">
        <f>IFERROR(SUMIF('گزارش روزانه'!$C$11:$C$91,A11,'گزارش روزانه'!$G$11:$G$91)/C11,0)</f>
        <v>0</v>
      </c>
      <c r="S11" s="673" t="n">
        <f>SUMIF('گزارش روزانه'!$C$11:$C$91,A11,'گزارش روزانه'!$AA$11:$AA$91)</f>
        <v>0</v>
      </c>
      <c r="T11" s="673" t="n">
        <f>C11-S11</f>
        <v>5</v>
      </c>
      <c r="U11" s="301" t="n">
        <f>IFERROR(AVERAGE(F11,I11,L11,R11),0)</f>
        <v>0</v>
      </c>
      <c r="V11" s="287" t="str">
        <f>IF(S11=0,"هنوز گزارش روزانه‌ای ثبت نشده است.",IF(U11&gt;=0.9,"عملکرد هفتگی بسیار مطلوب",IF(U11&gt;=0.75,"عملکرد مطلوب؛ جبران جزئی کافی است",IF(U11&gt;=0.55,"عملکرد متوسط؛ جبران هدفمند لازم است","عملکرد ضعیف؛ بازطراحی هفتهٔ بعد ضروری است"))))</f>
        <v>هنوز گزارش روزانه‌ای ثبت نشده است.</v>
      </c>
      <c r="W11" s="104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</row>
    <row r="12" ht="58" customHeight="1">
      <c r="A12" s="1097" t="n">
        <v>2</v>
      </c>
      <c r="B12" s="378" t="str">
        <v>۱۴۰۵/۰۵/۱۷ تا ۱۴۰۵/۰۵/۲۳</v>
      </c>
      <c r="C12" s="1099" t="n">
        <f>COUNTIF('گزارش روزانه'!$C$11:$C$91,A12)</f>
        <v>7</v>
      </c>
      <c r="D12" s="1099" t="n">
        <f>SUMIF('گزارش روزانه'!$C$11:$C$91,A12,'گزارش روزانه'!$H$11:$H$91)</f>
        <v>1680</v>
      </c>
      <c r="E12" s="1099" t="n">
        <f>SUMIF('گزارش روزانه'!$C$11:$C$91,A12,'گزارش روزانه'!$I$11:$I$91)</f>
        <v>0</v>
      </c>
      <c r="F12" s="1095" t="n">
        <f>IFERROR(E12/D12,0)</f>
        <v>0</v>
      </c>
      <c r="G12" s="1099" t="n">
        <f>SUMIF('گزارش روزانه'!$C$11:$C$91,A12,'گزارش روزانه'!$K$11:$K$91)</f>
        <v>214</v>
      </c>
      <c r="H12" s="1099" t="n">
        <f>SUMIF('گزارش روزانه'!$C$11:$C$91,A12,'گزارش روزانه'!$L$11:$L$91)</f>
        <v>0</v>
      </c>
      <c r="I12" s="1095" t="n">
        <f>IFERROR(H12/G12,0)</f>
        <v>0</v>
      </c>
      <c r="J12" s="1099" t="n">
        <f>SUMIF('گزارش روزانه'!$C$11:$C$91,A12,'گزارش روزانه'!$N$11:$N$91)</f>
        <v>119</v>
      </c>
      <c r="K12" s="1099" t="n">
        <f>SUMIF('گزارش روزانه'!$C$11:$C$91,A12,'گزارش روزانه'!$O$11:$O$91)</f>
        <v>0</v>
      </c>
      <c r="L12" s="1095" t="n">
        <f>IFERROR(K12/J12,0)</f>
        <v>0</v>
      </c>
      <c r="M12" s="1102" t="n">
        <f>IFERROR(SUMIF('گزارش روزانه'!$C$11:$C$91,A12,'گزارش روزانه'!$R$11:$R$91)/COUNTIFS('گزارش روزانه'!$C$11:$C$91,A12,'گزارش روزانه'!$R$11:$R$91,"&gt;0"),0)</f>
        <v>0</v>
      </c>
      <c r="N12" s="1102" t="n">
        <f>IFERROR(SUMIF('گزارش روزانه'!$C$11:$C$91,A12,'گزارش روزانه'!$S$11:$S$91)/COUNTIFS('گزارش روزانه'!$C$11:$C$91,A12,'گزارش روزانه'!$S$11:$S$91,"&gt;0"),0)</f>
        <v>0</v>
      </c>
      <c r="O12" s="1099" t="n">
        <f>COUNTIFS('گزارش روزانه'!$C$11:$C$91,A12,'گزارش روزانه'!$F$11:$F$91,"انجام‌شده")</f>
        <v>0</v>
      </c>
      <c r="P12" s="1099" t="n">
        <f>COUNTIFS('گزارش روزانه'!$C$11:$C$91,A12,'گزارش روزانه'!$F$11:$F$91,"نیمه‌انجام")</f>
        <v>0</v>
      </c>
      <c r="Q12" s="1099" t="n">
        <f>COUNTIFS('گزارش روزانه'!$C$11:$C$91,A12,'گزارش روزانه'!$F$11:$F$91,"انجام‌نشده")</f>
        <v>7</v>
      </c>
      <c r="R12" s="1095" t="n">
        <f>IFERROR(SUMIF('گزارش روزانه'!$C$11:$C$91,A12,'گزارش روزانه'!$G$11:$G$91)/C12,0)</f>
        <v>0</v>
      </c>
      <c r="S12" s="1099" t="n">
        <f>SUMIF('گزارش روزانه'!$C$11:$C$91,A12,'گزارش روزانه'!$AA$11:$AA$91)</f>
        <v>0</v>
      </c>
      <c r="T12" s="1099" t="n">
        <f>C12-S12</f>
        <v>7</v>
      </c>
      <c r="U12" s="1095" t="n">
        <f>IFERROR(AVERAGE(F12,I12,L12,R12),0)</f>
        <v>0</v>
      </c>
      <c r="V12" s="378" t="str">
        <f>IF(S12=0,"هنوز گزارش روزانه‌ای ثبت نشده است.",IF(U12&gt;=0.9,"عملکرد هفتگی بسیار مطلوب",IF(U12&gt;=0.75,"عملکرد مطلوب؛ جبران جزئی کافی است",IF(U12&gt;=0.55,"عملکرد متوسط؛ جبران هدفمند لازم است","عملکرد ضعیف؛ بازطراحی هفتهٔ بعد ضروری است"))))</f>
        <v>هنوز گزارش روزانه‌ای ثبت نشده است.</v>
      </c>
      <c r="W12" s="1042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</row>
    <row r="13" ht="58" customHeight="1">
      <c r="A13" s="674" t="n">
        <v>3</v>
      </c>
      <c r="B13" s="290" t="str">
        <v>۱۴۰۵/۰۵/۲۴ تا ۱۴۰۵/۰۵/۳۰</v>
      </c>
      <c r="C13" s="675" t="n">
        <f>COUNTIF('گزارش روزانه'!$C$11:$C$91,A13)</f>
        <v>7</v>
      </c>
      <c r="D13" s="675" t="n">
        <f>SUMIF('گزارش روزانه'!$C$11:$C$91,A13,'گزارش روزانه'!$H$11:$H$91)</f>
        <v>1680</v>
      </c>
      <c r="E13" s="675" t="n">
        <f>SUMIF('گزارش روزانه'!$C$11:$C$91,A13,'گزارش روزانه'!$I$11:$I$91)</f>
        <v>0</v>
      </c>
      <c r="F13" s="302" t="n">
        <f>IFERROR(E13/D13,0)</f>
        <v>0</v>
      </c>
      <c r="G13" s="675" t="n">
        <f>SUMIF('گزارش روزانه'!$C$11:$C$91,A13,'گزارش روزانه'!$K$11:$K$91)</f>
        <v>201</v>
      </c>
      <c r="H13" s="675" t="n">
        <f>SUMIF('گزارش روزانه'!$C$11:$C$91,A13,'گزارش روزانه'!$L$11:$L$91)</f>
        <v>0</v>
      </c>
      <c r="I13" s="302" t="n">
        <f>IFERROR(H13/G13,0)</f>
        <v>0</v>
      </c>
      <c r="J13" s="675" t="n">
        <f>SUMIF('گزارش روزانه'!$C$11:$C$91,A13,'گزارش روزانه'!$N$11:$N$91)</f>
        <v>119</v>
      </c>
      <c r="K13" s="675" t="n">
        <f>SUMIF('گزارش روزانه'!$C$11:$C$91,A13,'گزارش روزانه'!$O$11:$O$91)</f>
        <v>0</v>
      </c>
      <c r="L13" s="302" t="n">
        <f>IFERROR(K13/J13,0)</f>
        <v>0</v>
      </c>
      <c r="M13" s="1103" t="n">
        <f>IFERROR(SUMIF('گزارش روزانه'!$C$11:$C$91,A13,'گزارش روزانه'!$R$11:$R$91)/COUNTIFS('گزارش روزانه'!$C$11:$C$91,A13,'گزارش روزانه'!$R$11:$R$91,"&gt;0"),0)</f>
        <v>0</v>
      </c>
      <c r="N13" s="1103" t="n">
        <f>IFERROR(SUMIF('گزارش روزانه'!$C$11:$C$91,A13,'گزارش روزانه'!$S$11:$S$91)/COUNTIFS('گزارش روزانه'!$C$11:$C$91,A13,'گزارش روزانه'!$S$11:$S$91,"&gt;0"),0)</f>
        <v>0</v>
      </c>
      <c r="O13" s="675" t="n">
        <f>COUNTIFS('گزارش روزانه'!$C$11:$C$91,A13,'گزارش روزانه'!$F$11:$F$91,"انجام‌شده")</f>
        <v>0</v>
      </c>
      <c r="P13" s="675" t="n">
        <f>COUNTIFS('گزارش روزانه'!$C$11:$C$91,A13,'گزارش روزانه'!$F$11:$F$91,"نیمه‌انجام")</f>
        <v>0</v>
      </c>
      <c r="Q13" s="675" t="n">
        <f>COUNTIFS('گزارش روزانه'!$C$11:$C$91,A13,'گزارش روزانه'!$F$11:$F$91,"انجام‌نشده")</f>
        <v>7</v>
      </c>
      <c r="R13" s="302" t="n">
        <f>IFERROR(SUMIF('گزارش روزانه'!$C$11:$C$91,A13,'گزارش روزانه'!$G$11:$G$91)/C13,0)</f>
        <v>0</v>
      </c>
      <c r="S13" s="675" t="n">
        <f>SUMIF('گزارش روزانه'!$C$11:$C$91,A13,'گزارش روزانه'!$AA$11:$AA$91)</f>
        <v>0</v>
      </c>
      <c r="T13" s="675" t="n">
        <f>C13-S13</f>
        <v>7</v>
      </c>
      <c r="U13" s="302" t="n">
        <f>IFERROR(AVERAGE(F13,I13,L13,R13),0)</f>
        <v>0</v>
      </c>
      <c r="V13" s="290" t="str">
        <f>IF(S13=0,"هنوز گزارش روزانه‌ای ثبت نشده است.",IF(U13&gt;=0.9,"عملکرد هفتگی بسیار مطلوب",IF(U13&gt;=0.75,"عملکرد مطلوب؛ جبران جزئی کافی است",IF(U13&gt;=0.55,"عملکرد متوسط؛ جبران هدفمند لازم است","عملکرد ضعیف؛ بازطراحی هفتهٔ بعد ضروری است"))))</f>
        <v>هنوز گزارش روزانه‌ای ثبت نشده است.</v>
      </c>
      <c r="W13" s="1042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</row>
    <row r="14" ht="58" customHeight="1">
      <c r="A14" s="1097" t="n">
        <v>4</v>
      </c>
      <c r="B14" s="378" t="str">
        <v>۱۴۰۵/۰۵/۳۱ تا ۱۴۰۵/۰۶/۰۶</v>
      </c>
      <c r="C14" s="1099" t="n">
        <f>COUNTIF('گزارش روزانه'!$C$11:$C$91,A14)</f>
        <v>7</v>
      </c>
      <c r="D14" s="1099" t="n">
        <f>SUMIF('گزارش روزانه'!$C$11:$C$91,A14,'گزارش روزانه'!$H$11:$H$91)</f>
        <v>1680</v>
      </c>
      <c r="E14" s="1099" t="n">
        <f>SUMIF('گزارش روزانه'!$C$11:$C$91,A14,'گزارش روزانه'!$I$11:$I$91)</f>
        <v>0</v>
      </c>
      <c r="F14" s="1095" t="n">
        <f>IFERROR(E14/D14,0)</f>
        <v>0</v>
      </c>
      <c r="G14" s="1099" t="n">
        <f>SUMIF('گزارش روزانه'!$C$11:$C$91,A14,'گزارش روزانه'!$K$11:$K$91)</f>
        <v>198</v>
      </c>
      <c r="H14" s="1099" t="n">
        <f>SUMIF('گزارش روزانه'!$C$11:$C$91,A14,'گزارش روزانه'!$L$11:$L$91)</f>
        <v>0</v>
      </c>
      <c r="I14" s="1095" t="n">
        <f>IFERROR(H14/G14,0)</f>
        <v>0</v>
      </c>
      <c r="J14" s="1099" t="n">
        <f>SUMIF('گزارش روزانه'!$C$11:$C$91,A14,'گزارش روزانه'!$N$11:$N$91)</f>
        <v>119</v>
      </c>
      <c r="K14" s="1099" t="n">
        <f>SUMIF('گزارش روزانه'!$C$11:$C$91,A14,'گزارش روزانه'!$O$11:$O$91)</f>
        <v>0</v>
      </c>
      <c r="L14" s="1095" t="n">
        <f>IFERROR(K14/J14,0)</f>
        <v>0</v>
      </c>
      <c r="M14" s="1102" t="n">
        <f>IFERROR(SUMIF('گزارش روزانه'!$C$11:$C$91,A14,'گزارش روزانه'!$R$11:$R$91)/COUNTIFS('گزارش روزانه'!$C$11:$C$91,A14,'گزارش روزانه'!$R$11:$R$91,"&gt;0"),0)</f>
        <v>0</v>
      </c>
      <c r="N14" s="1102" t="n">
        <f>IFERROR(SUMIF('گزارش روزانه'!$C$11:$C$91,A14,'گزارش روزانه'!$S$11:$S$91)/COUNTIFS('گزارش روزانه'!$C$11:$C$91,A14,'گزارش روزانه'!$S$11:$S$91,"&gt;0"),0)</f>
        <v>0</v>
      </c>
      <c r="O14" s="1099" t="n">
        <f>COUNTIFS('گزارش روزانه'!$C$11:$C$91,A14,'گزارش روزانه'!$F$11:$F$91,"انجام‌شده")</f>
        <v>0</v>
      </c>
      <c r="P14" s="1099" t="n">
        <f>COUNTIFS('گزارش روزانه'!$C$11:$C$91,A14,'گزارش روزانه'!$F$11:$F$91,"نیمه‌انجام")</f>
        <v>0</v>
      </c>
      <c r="Q14" s="1099" t="n">
        <f>COUNTIFS('گزارش روزانه'!$C$11:$C$91,A14,'گزارش روزانه'!$F$11:$F$91,"انجام‌نشده")</f>
        <v>7</v>
      </c>
      <c r="R14" s="1095" t="n">
        <f>IFERROR(SUMIF('گزارش روزانه'!$C$11:$C$91,A14,'گزارش روزانه'!$G$11:$G$91)/C14,0)</f>
        <v>0</v>
      </c>
      <c r="S14" s="1099" t="n">
        <f>SUMIF('گزارش روزانه'!$C$11:$C$91,A14,'گزارش روزانه'!$AA$11:$AA$91)</f>
        <v>0</v>
      </c>
      <c r="T14" s="1099" t="n">
        <f>C14-S14</f>
        <v>7</v>
      </c>
      <c r="U14" s="1095" t="n">
        <f>IFERROR(AVERAGE(F14,I14,L14,R14),0)</f>
        <v>0</v>
      </c>
      <c r="V14" s="378" t="str">
        <f>IF(S14=0,"هنوز گزارش روزانه‌ای ثبت نشده است.",IF(U14&gt;=0.9,"عملکرد هفتگی بسیار مطلوب",IF(U14&gt;=0.75,"عملکرد مطلوب؛ جبران جزئی کافی است",IF(U14&gt;=0.55,"عملکرد متوسط؛ جبران هدفمند لازم است","عملکرد ضعیف؛ بازطراحی هفتهٔ بعد ضروری است"))))</f>
        <v>هنوز گزارش روزانه‌ای ثبت نشده است.</v>
      </c>
      <c r="W14" s="1042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</row>
    <row r="15" ht="58" customHeight="1">
      <c r="A15" s="674" t="n">
        <v>5</v>
      </c>
      <c r="B15" s="290" t="str">
        <v>۱۴۰۵/۰۶/۰۷ تا ۱۴۰۵/۰۶/۱۳</v>
      </c>
      <c r="C15" s="675" t="n">
        <f>COUNTIF('گزارش روزانه'!$C$11:$C$91,A15)</f>
        <v>7</v>
      </c>
      <c r="D15" s="675" t="n">
        <f>SUMIF('گزارش روزانه'!$C$11:$C$91,A15,'گزارش روزانه'!$H$11:$H$91)</f>
        <v>1680</v>
      </c>
      <c r="E15" s="675" t="n">
        <f>SUMIF('گزارش روزانه'!$C$11:$C$91,A15,'گزارش روزانه'!$I$11:$I$91)</f>
        <v>0</v>
      </c>
      <c r="F15" s="302" t="n">
        <f>IFERROR(E15/D15,0)</f>
        <v>0</v>
      </c>
      <c r="G15" s="675" t="n">
        <f>SUMIF('گزارش روزانه'!$C$11:$C$91,A15,'گزارش روزانه'!$K$11:$K$91)</f>
        <v>198</v>
      </c>
      <c r="H15" s="675" t="n">
        <f>SUMIF('گزارش روزانه'!$C$11:$C$91,A15,'گزارش روزانه'!$L$11:$L$91)</f>
        <v>0</v>
      </c>
      <c r="I15" s="302" t="n">
        <f>IFERROR(H15/G15,0)</f>
        <v>0</v>
      </c>
      <c r="J15" s="675" t="n">
        <f>SUMIF('گزارش روزانه'!$C$11:$C$91,A15,'گزارش روزانه'!$N$11:$N$91)</f>
        <v>119</v>
      </c>
      <c r="K15" s="675" t="n">
        <f>SUMIF('گزارش روزانه'!$C$11:$C$91,A15,'گزارش روزانه'!$O$11:$O$91)</f>
        <v>0</v>
      </c>
      <c r="L15" s="302" t="n">
        <f>IFERROR(K15/J15,0)</f>
        <v>0</v>
      </c>
      <c r="M15" s="1103" t="n">
        <f>IFERROR(SUMIF('گزارش روزانه'!$C$11:$C$91,A15,'گزارش روزانه'!$R$11:$R$91)/COUNTIFS('گزارش روزانه'!$C$11:$C$91,A15,'گزارش روزانه'!$R$11:$R$91,"&gt;0"),0)</f>
        <v>0</v>
      </c>
      <c r="N15" s="1103" t="n">
        <f>IFERROR(SUMIF('گزارش روزانه'!$C$11:$C$91,A15,'گزارش روزانه'!$S$11:$S$91)/COUNTIFS('گزارش روزانه'!$C$11:$C$91,A15,'گزارش روزانه'!$S$11:$S$91,"&gt;0"),0)</f>
        <v>0</v>
      </c>
      <c r="O15" s="675" t="n">
        <f>COUNTIFS('گزارش روزانه'!$C$11:$C$91,A15,'گزارش روزانه'!$F$11:$F$91,"انجام‌شده")</f>
        <v>0</v>
      </c>
      <c r="P15" s="675" t="n">
        <f>COUNTIFS('گزارش روزانه'!$C$11:$C$91,A15,'گزارش روزانه'!$F$11:$F$91,"نیمه‌انجام")</f>
        <v>0</v>
      </c>
      <c r="Q15" s="675" t="n">
        <f>COUNTIFS('گزارش روزانه'!$C$11:$C$91,A15,'گزارش روزانه'!$F$11:$F$91,"انجام‌نشده")</f>
        <v>7</v>
      </c>
      <c r="R15" s="302" t="n">
        <f>IFERROR(SUMIF('گزارش روزانه'!$C$11:$C$91,A15,'گزارش روزانه'!$G$11:$G$91)/C15,0)</f>
        <v>0</v>
      </c>
      <c r="S15" s="675" t="n">
        <f>SUMIF('گزارش روزانه'!$C$11:$C$91,A15,'گزارش روزانه'!$AA$11:$AA$91)</f>
        <v>0</v>
      </c>
      <c r="T15" s="675" t="n">
        <f>C15-S15</f>
        <v>7</v>
      </c>
      <c r="U15" s="302" t="n">
        <f>IFERROR(AVERAGE(F15,I15,L15,R15),0)</f>
        <v>0</v>
      </c>
      <c r="V15" s="290" t="str">
        <f>IF(S15=0,"هنوز گزارش روزانه‌ای ثبت نشده است.",IF(U15&gt;=0.9,"عملکرد هفتگی بسیار مطلوب",IF(U15&gt;=0.75,"عملکرد مطلوب؛ جبران جزئی کافی است",IF(U15&gt;=0.55,"عملکرد متوسط؛ جبران هدفمند لازم است","عملکرد ضعیف؛ بازطراحی هفتهٔ بعد ضروری است"))))</f>
        <v>هنوز گزارش روزانه‌ای ثبت نشده است.</v>
      </c>
      <c r="W15" s="1042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</row>
    <row r="16" ht="58" customHeight="1">
      <c r="A16" s="1097" t="n">
        <v>6</v>
      </c>
      <c r="B16" s="378" t="str">
        <v>۱۴۰۵/۰۶/۱۴ تا ۱۴۰۵/۰۶/۲۰</v>
      </c>
      <c r="C16" s="1099" t="n">
        <f>COUNTIF('گزارش روزانه'!$C$11:$C$91,A16)</f>
        <v>7</v>
      </c>
      <c r="D16" s="1099" t="n">
        <f>SUMIF('گزارش روزانه'!$C$11:$C$91,A16,'گزارش روزانه'!$H$11:$H$91)</f>
        <v>1680</v>
      </c>
      <c r="E16" s="1099" t="n">
        <f>SUMIF('گزارش روزانه'!$C$11:$C$91,A16,'گزارش روزانه'!$I$11:$I$91)</f>
        <v>0</v>
      </c>
      <c r="F16" s="1095" t="n">
        <f>IFERROR(E16/D16,0)</f>
        <v>0</v>
      </c>
      <c r="G16" s="1099" t="n">
        <f>SUMIF('گزارش روزانه'!$C$11:$C$91,A16,'گزارش روزانه'!$K$11:$K$91)</f>
        <v>198</v>
      </c>
      <c r="H16" s="1099" t="n">
        <f>SUMIF('گزارش روزانه'!$C$11:$C$91,A16,'گزارش روزانه'!$L$11:$L$91)</f>
        <v>0</v>
      </c>
      <c r="I16" s="1095" t="n">
        <f>IFERROR(H16/G16,0)</f>
        <v>0</v>
      </c>
      <c r="J16" s="1099" t="n">
        <f>SUMIF('گزارش روزانه'!$C$11:$C$91,A16,'گزارش روزانه'!$N$11:$N$91)</f>
        <v>119</v>
      </c>
      <c r="K16" s="1099" t="n">
        <f>SUMIF('گزارش روزانه'!$C$11:$C$91,A16,'گزارش روزانه'!$O$11:$O$91)</f>
        <v>0</v>
      </c>
      <c r="L16" s="1095" t="n">
        <f>IFERROR(K16/J16,0)</f>
        <v>0</v>
      </c>
      <c r="M16" s="1102" t="n">
        <f>IFERROR(SUMIF('گزارش روزانه'!$C$11:$C$91,A16,'گزارش روزانه'!$R$11:$R$91)/COUNTIFS('گزارش روزانه'!$C$11:$C$91,A16,'گزارش روزانه'!$R$11:$R$91,"&gt;0"),0)</f>
        <v>0</v>
      </c>
      <c r="N16" s="1102" t="n">
        <f>IFERROR(SUMIF('گزارش روزانه'!$C$11:$C$91,A16,'گزارش روزانه'!$S$11:$S$91)/COUNTIFS('گزارش روزانه'!$C$11:$C$91,A16,'گزارش روزانه'!$S$11:$S$91,"&gt;0"),0)</f>
        <v>0</v>
      </c>
      <c r="O16" s="1099" t="n">
        <f>COUNTIFS('گزارش روزانه'!$C$11:$C$91,A16,'گزارش روزانه'!$F$11:$F$91,"انجام‌شده")</f>
        <v>0</v>
      </c>
      <c r="P16" s="1099" t="n">
        <f>COUNTIFS('گزارش روزانه'!$C$11:$C$91,A16,'گزارش روزانه'!$F$11:$F$91,"نیمه‌انجام")</f>
        <v>0</v>
      </c>
      <c r="Q16" s="1099" t="n">
        <f>COUNTIFS('گزارش روزانه'!$C$11:$C$91,A16,'گزارش روزانه'!$F$11:$F$91,"انجام‌نشده")</f>
        <v>7</v>
      </c>
      <c r="R16" s="1095" t="n">
        <f>IFERROR(SUMIF('گزارش روزانه'!$C$11:$C$91,A16,'گزارش روزانه'!$G$11:$G$91)/C16,0)</f>
        <v>0</v>
      </c>
      <c r="S16" s="1099" t="n">
        <f>SUMIF('گزارش روزانه'!$C$11:$C$91,A16,'گزارش روزانه'!$AA$11:$AA$91)</f>
        <v>0</v>
      </c>
      <c r="T16" s="1099" t="n">
        <f>C16-S16</f>
        <v>7</v>
      </c>
      <c r="U16" s="1095" t="n">
        <f>IFERROR(AVERAGE(F16,I16,L16,R16),0)</f>
        <v>0</v>
      </c>
      <c r="V16" s="378" t="str">
        <f>IF(S16=0,"هنوز گزارش روزانه‌ای ثبت نشده است.",IF(U16&gt;=0.9,"عملکرد هفتگی بسیار مطلوب",IF(U16&gt;=0.75,"عملکرد مطلوب؛ جبران جزئی کافی است",IF(U16&gt;=0.55,"عملکرد متوسط؛ جبران هدفمند لازم است","عملکرد ضعیف؛ بازطراحی هفتهٔ بعد ضروری است"))))</f>
        <v>هنوز گزارش روزانه‌ای ثبت نشده است.</v>
      </c>
      <c r="W16" s="1042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</row>
    <row r="17" ht="58" customHeight="1">
      <c r="A17" s="674" t="n">
        <v>7</v>
      </c>
      <c r="B17" s="290" t="str">
        <v>۱۴۰۵/۰۶/۲۱ تا ۱۴۰۵/۰۶/۲۷</v>
      </c>
      <c r="C17" s="675" t="n">
        <f>COUNTIF('گزارش روزانه'!$C$11:$C$91,A17)</f>
        <v>7</v>
      </c>
      <c r="D17" s="675" t="n">
        <f>SUMIF('گزارش روزانه'!$C$11:$C$91,A17,'گزارش روزانه'!$H$11:$H$91)</f>
        <v>1680</v>
      </c>
      <c r="E17" s="675" t="n">
        <f>SUMIF('گزارش روزانه'!$C$11:$C$91,A17,'گزارش روزانه'!$I$11:$I$91)</f>
        <v>0</v>
      </c>
      <c r="F17" s="302" t="n">
        <f>IFERROR(E17/D17,0)</f>
        <v>0</v>
      </c>
      <c r="G17" s="675" t="n">
        <f>SUMIF('گزارش روزانه'!$C$11:$C$91,A17,'گزارش روزانه'!$K$11:$K$91)</f>
        <v>195</v>
      </c>
      <c r="H17" s="675" t="n">
        <f>SUMIF('گزارش روزانه'!$C$11:$C$91,A17,'گزارش روزانه'!$L$11:$L$91)</f>
        <v>0</v>
      </c>
      <c r="I17" s="302" t="n">
        <f>IFERROR(H17/G17,0)</f>
        <v>0</v>
      </c>
      <c r="J17" s="675" t="n">
        <f>SUMIF('گزارش روزانه'!$C$11:$C$91,A17,'گزارش روزانه'!$N$11:$N$91)</f>
        <v>119</v>
      </c>
      <c r="K17" s="675" t="n">
        <f>SUMIF('گزارش روزانه'!$C$11:$C$91,A17,'گزارش روزانه'!$O$11:$O$91)</f>
        <v>0</v>
      </c>
      <c r="L17" s="302" t="n">
        <f>IFERROR(K17/J17,0)</f>
        <v>0</v>
      </c>
      <c r="M17" s="1103" t="n">
        <f>IFERROR(SUMIF('گزارش روزانه'!$C$11:$C$91,A17,'گزارش روزانه'!$R$11:$R$91)/COUNTIFS('گزارش روزانه'!$C$11:$C$91,A17,'گزارش روزانه'!$R$11:$R$91,"&gt;0"),0)</f>
        <v>0</v>
      </c>
      <c r="N17" s="1103" t="n">
        <f>IFERROR(SUMIF('گزارش روزانه'!$C$11:$C$91,A17,'گزارش روزانه'!$S$11:$S$91)/COUNTIFS('گزارش روزانه'!$C$11:$C$91,A17,'گزارش روزانه'!$S$11:$S$91,"&gt;0"),0)</f>
        <v>0</v>
      </c>
      <c r="O17" s="675" t="n">
        <f>COUNTIFS('گزارش روزانه'!$C$11:$C$91,A17,'گزارش روزانه'!$F$11:$F$91,"انجام‌شده")</f>
        <v>0</v>
      </c>
      <c r="P17" s="675" t="n">
        <f>COUNTIFS('گزارش روزانه'!$C$11:$C$91,A17,'گزارش روزانه'!$F$11:$F$91,"نیمه‌انجام")</f>
        <v>0</v>
      </c>
      <c r="Q17" s="675" t="n">
        <f>COUNTIFS('گزارش روزانه'!$C$11:$C$91,A17,'گزارش روزانه'!$F$11:$F$91,"انجام‌نشده")</f>
        <v>7</v>
      </c>
      <c r="R17" s="302" t="n">
        <f>IFERROR(SUMIF('گزارش روزانه'!$C$11:$C$91,A17,'گزارش روزانه'!$G$11:$G$91)/C17,0)</f>
        <v>0</v>
      </c>
      <c r="S17" s="675" t="n">
        <f>SUMIF('گزارش روزانه'!$C$11:$C$91,A17,'گزارش روزانه'!$AA$11:$AA$91)</f>
        <v>0</v>
      </c>
      <c r="T17" s="675" t="n">
        <f>C17-S17</f>
        <v>7</v>
      </c>
      <c r="U17" s="302" t="n">
        <f>IFERROR(AVERAGE(F17,I17,L17,R17),0)</f>
        <v>0</v>
      </c>
      <c r="V17" s="290" t="str">
        <f>IF(S17=0,"هنوز گزارش روزانه‌ای ثبت نشده است.",IF(U17&gt;=0.9,"عملکرد هفتگی بسیار مطلوب",IF(U17&gt;=0.75,"عملکرد مطلوب؛ جبران جزئی کافی است",IF(U17&gt;=0.55,"عملکرد متوسط؛ جبران هدفمند لازم است","عملکرد ضعیف؛ بازطراحی هفتهٔ بعد ضروری است"))))</f>
        <v>هنوز گزارش روزانه‌ای ثبت نشده است.</v>
      </c>
      <c r="W17" s="1042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</row>
    <row r="18" ht="58" customHeight="1">
      <c r="A18" s="1097" t="n">
        <v>8</v>
      </c>
      <c r="B18" s="378" t="str">
        <v>۱۴۰۵/۰۶/۲۸ تا ۱۴۰۵/۰۷/۰۳</v>
      </c>
      <c r="C18" s="1099" t="n">
        <f>COUNTIF('گزارش روزانه'!$C$11:$C$91,A18)</f>
        <v>7</v>
      </c>
      <c r="D18" s="1099" t="n">
        <f>SUMIF('گزارش روزانه'!$C$11:$C$91,A18,'گزارش روزانه'!$H$11:$H$91)</f>
        <v>1680</v>
      </c>
      <c r="E18" s="1099" t="n">
        <f>SUMIF('گزارش روزانه'!$C$11:$C$91,A18,'گزارش روزانه'!$I$11:$I$91)</f>
        <v>0</v>
      </c>
      <c r="F18" s="1095" t="n">
        <f>IFERROR(E18/D18,0)</f>
        <v>0</v>
      </c>
      <c r="G18" s="1099" t="n">
        <f>SUMIF('گزارش روزانه'!$C$11:$C$91,A18,'گزارش روزانه'!$K$11:$K$91)</f>
        <v>194</v>
      </c>
      <c r="H18" s="1099" t="n">
        <f>SUMIF('گزارش روزانه'!$C$11:$C$91,A18,'گزارش روزانه'!$L$11:$L$91)</f>
        <v>0</v>
      </c>
      <c r="I18" s="1095" t="n">
        <f>IFERROR(H18/G18,0)</f>
        <v>0</v>
      </c>
      <c r="J18" s="1099" t="n">
        <f>SUMIF('گزارش روزانه'!$C$11:$C$91,A18,'گزارش روزانه'!$N$11:$N$91)</f>
        <v>119</v>
      </c>
      <c r="K18" s="1099" t="n">
        <f>SUMIF('گزارش روزانه'!$C$11:$C$91,A18,'گزارش روزانه'!$O$11:$O$91)</f>
        <v>0</v>
      </c>
      <c r="L18" s="1095" t="n">
        <f>IFERROR(K18/J18,0)</f>
        <v>0</v>
      </c>
      <c r="M18" s="1102" t="n">
        <f>IFERROR(SUMIF('گزارش روزانه'!$C$11:$C$91,A18,'گزارش روزانه'!$R$11:$R$91)/COUNTIFS('گزارش روزانه'!$C$11:$C$91,A18,'گزارش روزانه'!$R$11:$R$91,"&gt;0"),0)</f>
        <v>0</v>
      </c>
      <c r="N18" s="1102" t="n">
        <f>IFERROR(SUMIF('گزارش روزانه'!$C$11:$C$91,A18,'گزارش روزانه'!$S$11:$S$91)/COUNTIFS('گزارش روزانه'!$C$11:$C$91,A18,'گزارش روزانه'!$S$11:$S$91,"&gt;0"),0)</f>
        <v>0</v>
      </c>
      <c r="O18" s="1099" t="n">
        <f>COUNTIFS('گزارش روزانه'!$C$11:$C$91,A18,'گزارش روزانه'!$F$11:$F$91,"انجام‌شده")</f>
        <v>0</v>
      </c>
      <c r="P18" s="1099" t="n">
        <f>COUNTIFS('گزارش روزانه'!$C$11:$C$91,A18,'گزارش روزانه'!$F$11:$F$91,"نیمه‌انجام")</f>
        <v>0</v>
      </c>
      <c r="Q18" s="1099" t="n">
        <f>COUNTIFS('گزارش روزانه'!$C$11:$C$91,A18,'گزارش روزانه'!$F$11:$F$91,"انجام‌نشده")</f>
        <v>7</v>
      </c>
      <c r="R18" s="1095" t="n">
        <f>IFERROR(SUMIF('گزارش روزانه'!$C$11:$C$91,A18,'گزارش روزانه'!$G$11:$G$91)/C18,0)</f>
        <v>0</v>
      </c>
      <c r="S18" s="1099" t="n">
        <f>SUMIF('گزارش روزانه'!$C$11:$C$91,A18,'گزارش روزانه'!$AA$11:$AA$91)</f>
        <v>0</v>
      </c>
      <c r="T18" s="1099" t="n">
        <f>C18-S18</f>
        <v>7</v>
      </c>
      <c r="U18" s="1095" t="n">
        <f>IFERROR(AVERAGE(F18,I18,L18,R18),0)</f>
        <v>0</v>
      </c>
      <c r="V18" s="378" t="str">
        <f>IF(S18=0,"هنوز گزارش روزانه‌ای ثبت نشده است.",IF(U18&gt;=0.9,"عملکرد هفتگی بسیار مطلوب",IF(U18&gt;=0.75,"عملکرد مطلوب؛ جبران جزئی کافی است",IF(U18&gt;=0.55,"عملکرد متوسط؛ جبران هدفمند لازم است","عملکرد ضعیف؛ بازطراحی هفتهٔ بعد ضروری است"))))</f>
        <v>هنوز گزارش روزانه‌ای ثبت نشده است.</v>
      </c>
      <c r="W18" s="1042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</row>
    <row r="19" ht="58" customHeight="1">
      <c r="A19" s="674" t="n">
        <v>9</v>
      </c>
      <c r="B19" s="290" t="str">
        <v>۱۴۰۵/۰۷/۰۴ تا ۱۴۰۵/۰۷/۱۰</v>
      </c>
      <c r="C19" s="675" t="n">
        <f>COUNTIF('گزارش روزانه'!$C$11:$C$91,A19)</f>
        <v>7</v>
      </c>
      <c r="D19" s="675" t="n">
        <f>SUMIF('گزارش روزانه'!$C$11:$C$91,A19,'گزارش روزانه'!$H$11:$H$91)</f>
        <v>1680</v>
      </c>
      <c r="E19" s="675" t="n">
        <f>SUMIF('گزارش روزانه'!$C$11:$C$91,A19,'گزارش روزانه'!$I$11:$I$91)</f>
        <v>0</v>
      </c>
      <c r="F19" s="302" t="n">
        <f>IFERROR(E19/D19,0)</f>
        <v>0</v>
      </c>
      <c r="G19" s="675" t="n">
        <f>SUMIF('گزارش روزانه'!$C$11:$C$91,A19,'گزارش روزانه'!$K$11:$K$91)</f>
        <v>197</v>
      </c>
      <c r="H19" s="675" t="n">
        <f>SUMIF('گزارش روزانه'!$C$11:$C$91,A19,'گزارش روزانه'!$L$11:$L$91)</f>
        <v>0</v>
      </c>
      <c r="I19" s="302" t="n">
        <f>IFERROR(H19/G19,0)</f>
        <v>0</v>
      </c>
      <c r="J19" s="675" t="n">
        <f>SUMIF('گزارش روزانه'!$C$11:$C$91,A19,'گزارش روزانه'!$N$11:$N$91)</f>
        <v>119</v>
      </c>
      <c r="K19" s="675" t="n">
        <f>SUMIF('گزارش روزانه'!$C$11:$C$91,A19,'گزارش روزانه'!$O$11:$O$91)</f>
        <v>0</v>
      </c>
      <c r="L19" s="302" t="n">
        <f>IFERROR(K19/J19,0)</f>
        <v>0</v>
      </c>
      <c r="M19" s="1103" t="n">
        <f>IFERROR(SUMIF('گزارش روزانه'!$C$11:$C$91,A19,'گزارش روزانه'!$R$11:$R$91)/COUNTIFS('گزارش روزانه'!$C$11:$C$91,A19,'گزارش روزانه'!$R$11:$R$91,"&gt;0"),0)</f>
        <v>0</v>
      </c>
      <c r="N19" s="1103" t="n">
        <f>IFERROR(SUMIF('گزارش روزانه'!$C$11:$C$91,A19,'گزارش روزانه'!$S$11:$S$91)/COUNTIFS('گزارش روزانه'!$C$11:$C$91,A19,'گزارش روزانه'!$S$11:$S$91,"&gt;0"),0)</f>
        <v>0</v>
      </c>
      <c r="O19" s="675" t="n">
        <f>COUNTIFS('گزارش روزانه'!$C$11:$C$91,A19,'گزارش روزانه'!$F$11:$F$91,"انجام‌شده")</f>
        <v>0</v>
      </c>
      <c r="P19" s="675" t="n">
        <f>COUNTIFS('گزارش روزانه'!$C$11:$C$91,A19,'گزارش روزانه'!$F$11:$F$91,"نیمه‌انجام")</f>
        <v>0</v>
      </c>
      <c r="Q19" s="675" t="n">
        <f>COUNTIFS('گزارش روزانه'!$C$11:$C$91,A19,'گزارش روزانه'!$F$11:$F$91,"انجام‌نشده")</f>
        <v>7</v>
      </c>
      <c r="R19" s="302" t="n">
        <f>IFERROR(SUMIF('گزارش روزانه'!$C$11:$C$91,A19,'گزارش روزانه'!$G$11:$G$91)/C19,0)</f>
        <v>0</v>
      </c>
      <c r="S19" s="675" t="n">
        <f>SUMIF('گزارش روزانه'!$C$11:$C$91,A19,'گزارش روزانه'!$AA$11:$AA$91)</f>
        <v>0</v>
      </c>
      <c r="T19" s="675" t="n">
        <f>C19-S19</f>
        <v>7</v>
      </c>
      <c r="U19" s="302" t="n">
        <f>IFERROR(AVERAGE(F19,I19,L19,R19),0)</f>
        <v>0</v>
      </c>
      <c r="V19" s="290" t="str">
        <f>IF(S19=0,"هنوز گزارش روزانه‌ای ثبت نشده است.",IF(U19&gt;=0.9,"عملکرد هفتگی بسیار مطلوب",IF(U19&gt;=0.75,"عملکرد مطلوب؛ جبران جزئی کافی است",IF(U19&gt;=0.55,"عملکرد متوسط؛ جبران هدفمند لازم است","عملکرد ضعیف؛ بازطراحی هفتهٔ بعد ضروری است"))))</f>
        <v>هنوز گزارش روزانه‌ای ثبت نشده است.</v>
      </c>
      <c r="W19" s="1042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</row>
    <row r="20" ht="58" customHeight="1">
      <c r="A20" s="1097" t="n">
        <v>10</v>
      </c>
      <c r="B20" s="378" t="str">
        <v>۱۴۰۵/۰۷/۱۱ تا ۱۴۰۵/۰۷/۱۷</v>
      </c>
      <c r="C20" s="1099" t="n">
        <f>COUNTIF('گزارش روزانه'!$C$11:$C$91,A20)</f>
        <v>7</v>
      </c>
      <c r="D20" s="1099" t="n">
        <f>SUMIF('گزارش روزانه'!$C$11:$C$91,A20,'گزارش روزانه'!$H$11:$H$91)</f>
        <v>1680</v>
      </c>
      <c r="E20" s="1099" t="n">
        <f>SUMIF('گزارش روزانه'!$C$11:$C$91,A20,'گزارش روزانه'!$I$11:$I$91)</f>
        <v>0</v>
      </c>
      <c r="F20" s="1095" t="n">
        <f>IFERROR(E20/D20,0)</f>
        <v>0</v>
      </c>
      <c r="G20" s="1099" t="n">
        <f>SUMIF('گزارش روزانه'!$C$11:$C$91,A20,'گزارش روزانه'!$K$11:$K$91)</f>
        <v>197</v>
      </c>
      <c r="H20" s="1099" t="n">
        <f>SUMIF('گزارش روزانه'!$C$11:$C$91,A20,'گزارش روزانه'!$L$11:$L$91)</f>
        <v>0</v>
      </c>
      <c r="I20" s="1095" t="n">
        <f>IFERROR(H20/G20,0)</f>
        <v>0</v>
      </c>
      <c r="J20" s="1099" t="n">
        <f>SUMIF('گزارش روزانه'!$C$11:$C$91,A20,'گزارش روزانه'!$N$11:$N$91)</f>
        <v>119</v>
      </c>
      <c r="K20" s="1099" t="n">
        <f>SUMIF('گزارش روزانه'!$C$11:$C$91,A20,'گزارش روزانه'!$O$11:$O$91)</f>
        <v>0</v>
      </c>
      <c r="L20" s="1095" t="n">
        <f>IFERROR(K20/J20,0)</f>
        <v>0</v>
      </c>
      <c r="M20" s="1102" t="n">
        <f>IFERROR(SUMIF('گزارش روزانه'!$C$11:$C$91,A20,'گزارش روزانه'!$R$11:$R$91)/COUNTIFS('گزارش روزانه'!$C$11:$C$91,A20,'گزارش روزانه'!$R$11:$R$91,"&gt;0"),0)</f>
        <v>0</v>
      </c>
      <c r="N20" s="1102" t="n">
        <f>IFERROR(SUMIF('گزارش روزانه'!$C$11:$C$91,A20,'گزارش روزانه'!$S$11:$S$91)/COUNTIFS('گزارش روزانه'!$C$11:$C$91,A20,'گزارش روزانه'!$S$11:$S$91,"&gt;0"),0)</f>
        <v>0</v>
      </c>
      <c r="O20" s="1099" t="n">
        <f>COUNTIFS('گزارش روزانه'!$C$11:$C$91,A20,'گزارش روزانه'!$F$11:$F$91,"انجام‌شده")</f>
        <v>0</v>
      </c>
      <c r="P20" s="1099" t="n">
        <f>COUNTIFS('گزارش روزانه'!$C$11:$C$91,A20,'گزارش روزانه'!$F$11:$F$91,"نیمه‌انجام")</f>
        <v>0</v>
      </c>
      <c r="Q20" s="1099" t="n">
        <f>COUNTIFS('گزارش روزانه'!$C$11:$C$91,A20,'گزارش روزانه'!$F$11:$F$91,"انجام‌نشده")</f>
        <v>7</v>
      </c>
      <c r="R20" s="1095" t="n">
        <f>IFERROR(SUMIF('گزارش روزانه'!$C$11:$C$91,A20,'گزارش روزانه'!$G$11:$G$91)/C20,0)</f>
        <v>0</v>
      </c>
      <c r="S20" s="1099" t="n">
        <f>SUMIF('گزارش روزانه'!$C$11:$C$91,A20,'گزارش روزانه'!$AA$11:$AA$91)</f>
        <v>0</v>
      </c>
      <c r="T20" s="1099" t="n">
        <f>C20-S20</f>
        <v>7</v>
      </c>
      <c r="U20" s="1095" t="n">
        <f>IFERROR(AVERAGE(F20,I20,L20,R20),0)</f>
        <v>0</v>
      </c>
      <c r="V20" s="378" t="str">
        <f>IF(S20=0,"هنوز گزارش روزانه‌ای ثبت نشده است.",IF(U20&gt;=0.9,"عملکرد هفتگی بسیار مطلوب",IF(U20&gt;=0.75,"عملکرد مطلوب؛ جبران جزئی کافی است",IF(U20&gt;=0.55,"عملکرد متوسط؛ جبران هدفمند لازم است","عملکرد ضعیف؛ بازطراحی هفتهٔ بعد ضروری است"))))</f>
        <v>هنوز گزارش روزانه‌ای ثبت نشده است.</v>
      </c>
      <c r="W20" s="1042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</row>
    <row r="21" ht="58" customHeight="1">
      <c r="A21" s="674" t="n">
        <v>11</v>
      </c>
      <c r="B21" s="290" t="str">
        <v>۱۴۰۵/۰۷/۱۸ تا ۱۴۰۵/۰۷/۲۴</v>
      </c>
      <c r="C21" s="675" t="n">
        <f>COUNTIF('گزارش روزانه'!$C$11:$C$91,A21)</f>
        <v>7</v>
      </c>
      <c r="D21" s="675" t="n">
        <f>SUMIF('گزارش روزانه'!$C$11:$C$91,A21,'گزارش روزانه'!$H$11:$H$91)</f>
        <v>1680</v>
      </c>
      <c r="E21" s="675" t="n">
        <f>SUMIF('گزارش روزانه'!$C$11:$C$91,A21,'گزارش روزانه'!$I$11:$I$91)</f>
        <v>0</v>
      </c>
      <c r="F21" s="302" t="n">
        <f>IFERROR(E21/D21,0)</f>
        <v>0</v>
      </c>
      <c r="G21" s="675" t="n">
        <f>SUMIF('گزارش روزانه'!$C$11:$C$91,A21,'گزارش روزانه'!$K$11:$K$91)</f>
        <v>143</v>
      </c>
      <c r="H21" s="675" t="n">
        <f>SUMIF('گزارش روزانه'!$C$11:$C$91,A21,'گزارش روزانه'!$L$11:$L$91)</f>
        <v>0</v>
      </c>
      <c r="I21" s="302" t="n">
        <f>IFERROR(H21/G21,0)</f>
        <v>0</v>
      </c>
      <c r="J21" s="675" t="n">
        <f>SUMIF('گزارش روزانه'!$C$11:$C$91,A21,'گزارش روزانه'!$N$11:$N$91)</f>
        <v>119</v>
      </c>
      <c r="K21" s="675" t="n">
        <f>SUMIF('گزارش روزانه'!$C$11:$C$91,A21,'گزارش روزانه'!$O$11:$O$91)</f>
        <v>0</v>
      </c>
      <c r="L21" s="302" t="n">
        <f>IFERROR(K21/J21,0)</f>
        <v>0</v>
      </c>
      <c r="M21" s="1103" t="n">
        <f>IFERROR(SUMIF('گزارش روزانه'!$C$11:$C$91,A21,'گزارش روزانه'!$R$11:$R$91)/COUNTIFS('گزارش روزانه'!$C$11:$C$91,A21,'گزارش روزانه'!$R$11:$R$91,"&gt;0"),0)</f>
        <v>0</v>
      </c>
      <c r="N21" s="1103" t="n">
        <f>IFERROR(SUMIF('گزارش روزانه'!$C$11:$C$91,A21,'گزارش روزانه'!$S$11:$S$91)/COUNTIFS('گزارش روزانه'!$C$11:$C$91,A21,'گزارش روزانه'!$S$11:$S$91,"&gt;0"),0)</f>
        <v>0</v>
      </c>
      <c r="O21" s="675" t="n">
        <f>COUNTIFS('گزارش روزانه'!$C$11:$C$91,A21,'گزارش روزانه'!$F$11:$F$91,"انجام‌شده")</f>
        <v>0</v>
      </c>
      <c r="P21" s="675" t="n">
        <f>COUNTIFS('گزارش روزانه'!$C$11:$C$91,A21,'گزارش روزانه'!$F$11:$F$91,"نیمه‌انجام")</f>
        <v>0</v>
      </c>
      <c r="Q21" s="675" t="n">
        <f>COUNTIFS('گزارش روزانه'!$C$11:$C$91,A21,'گزارش روزانه'!$F$11:$F$91,"انجام‌نشده")</f>
        <v>7</v>
      </c>
      <c r="R21" s="302" t="n">
        <f>IFERROR(SUMIF('گزارش روزانه'!$C$11:$C$91,A21,'گزارش روزانه'!$G$11:$G$91)/C21,0)</f>
        <v>0</v>
      </c>
      <c r="S21" s="675" t="n">
        <f>SUMIF('گزارش روزانه'!$C$11:$C$91,A21,'گزارش روزانه'!$AA$11:$AA$91)</f>
        <v>0</v>
      </c>
      <c r="T21" s="675" t="n">
        <f>C21-S21</f>
        <v>7</v>
      </c>
      <c r="U21" s="302" t="n">
        <f>IFERROR(AVERAGE(F21,I21,L21,R21),0)</f>
        <v>0</v>
      </c>
      <c r="V21" s="290" t="str">
        <f>IF(S21=0,"هنوز گزارش روزانه‌ای ثبت نشده است.",IF(U21&gt;=0.9,"عملکرد هفتگی بسیار مطلوب",IF(U21&gt;=0.75,"عملکرد مطلوب؛ جبران جزئی کافی است",IF(U21&gt;=0.55,"عملکرد متوسط؛ جبران هدفمند لازم است","عملکرد ضعیف؛ بازطراحی هفتهٔ بعد ضروری است"))))</f>
        <v>هنوز گزارش روزانه‌ای ثبت نشده است.</v>
      </c>
      <c r="W21" s="1042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</row>
    <row r="22" ht="58" customHeight="1">
      <c r="A22" s="1098" t="n">
        <v>12</v>
      </c>
      <c r="B22" s="379" t="str">
        <v>۱۴۰۵/۰۷/۲۵ تا ۱۴۰۵/۰۷/۳۰</v>
      </c>
      <c r="C22" s="1100" t="n">
        <f>COUNTIF('گزارش روزانه'!$C$11:$C$91,A22)</f>
        <v>6</v>
      </c>
      <c r="D22" s="1100" t="n">
        <f>SUMIF('گزارش روزانه'!$C$11:$C$91,A22,'گزارش روزانه'!$H$11:$H$91)</f>
        <v>1440</v>
      </c>
      <c r="E22" s="1100" t="n">
        <f>SUMIF('گزارش روزانه'!$C$11:$C$91,A22,'گزارش روزانه'!$I$11:$I$91)</f>
        <v>0</v>
      </c>
      <c r="F22" s="1096" t="n">
        <f>IFERROR(E22/D22,0)</f>
        <v>0</v>
      </c>
      <c r="G22" s="1100" t="n">
        <f>SUMIF('گزارش روزانه'!$C$11:$C$91,A22,'گزارش روزانه'!$K$11:$K$91)</f>
        <v>0</v>
      </c>
      <c r="H22" s="1100" t="n">
        <f>SUMIF('گزارش روزانه'!$C$11:$C$91,A22,'گزارش روزانه'!$L$11:$L$91)</f>
        <v>0</v>
      </c>
      <c r="I22" s="1096" t="n">
        <f>IFERROR(H22/G22,0)</f>
        <v>0</v>
      </c>
      <c r="J22" s="1100" t="n">
        <f>SUMIF('گزارش روزانه'!$C$11:$C$91,A22,'گزارش روزانه'!$N$11:$N$91)</f>
        <v>102</v>
      </c>
      <c r="K22" s="1100" t="n">
        <f>SUMIF('گزارش روزانه'!$C$11:$C$91,A22,'گزارش روزانه'!$O$11:$O$91)</f>
        <v>0</v>
      </c>
      <c r="L22" s="1096" t="n">
        <f>IFERROR(K22/J22,0)</f>
        <v>0</v>
      </c>
      <c r="M22" s="1104" t="n">
        <f>IFERROR(SUMIF('گزارش روزانه'!$C$11:$C$91,A22,'گزارش روزانه'!$R$11:$R$91)/COUNTIFS('گزارش روزانه'!$C$11:$C$91,A22,'گزارش روزانه'!$R$11:$R$91,"&gt;0"),0)</f>
        <v>0</v>
      </c>
      <c r="N22" s="1104" t="n">
        <f>IFERROR(SUMIF('گزارش روزانه'!$C$11:$C$91,A22,'گزارش روزانه'!$S$11:$S$91)/COUNTIFS('گزارش روزانه'!$C$11:$C$91,A22,'گزارش روزانه'!$S$11:$S$91,"&gt;0"),0)</f>
        <v>0</v>
      </c>
      <c r="O22" s="1100" t="n">
        <f>COUNTIFS('گزارش روزانه'!$C$11:$C$91,A22,'گزارش روزانه'!$F$11:$F$91,"انجام‌شده")</f>
        <v>0</v>
      </c>
      <c r="P22" s="1100" t="n">
        <f>COUNTIFS('گزارش روزانه'!$C$11:$C$91,A22,'گزارش روزانه'!$F$11:$F$91,"نیمه‌انجام")</f>
        <v>0</v>
      </c>
      <c r="Q22" s="1100" t="n">
        <f>COUNTIFS('گزارش روزانه'!$C$11:$C$91,A22,'گزارش روزانه'!$F$11:$F$91,"انجام‌نشده")</f>
        <v>6</v>
      </c>
      <c r="R22" s="1096" t="n">
        <f>IFERROR(SUMIF('گزارش روزانه'!$C$11:$C$91,A22,'گزارش روزانه'!$G$11:$G$91)/C22,0)</f>
        <v>0</v>
      </c>
      <c r="S22" s="1100" t="n">
        <f>SUMIF('گزارش روزانه'!$C$11:$C$91,A22,'گزارش روزانه'!$AA$11:$AA$91)</f>
        <v>0</v>
      </c>
      <c r="T22" s="1100" t="n">
        <f>C22-S22</f>
        <v>6</v>
      </c>
      <c r="U22" s="1096" t="n">
        <f>IFERROR(AVERAGE(F22,I22,L22,R22),0)</f>
        <v>0</v>
      </c>
      <c r="V22" s="379" t="str">
        <f>IF(S22=0,"هنوز گزارش روزانه‌ای ثبت نشده است.",IF(U22&gt;=0.9,"عملکرد هفتگی بسیار مطلوب",IF(U22&gt;=0.75,"عملکرد مطلوب؛ جبران جزئی کافی است",IF(U22&gt;=0.55,"عملکرد متوسط؛ جبران هدفمند لازم است","عملکرد ضعیف؛ بازطراحی هفتهٔ بعد ضروری است"))))</f>
        <v>هنوز گزارش روزانه‌ای ثبت نشده است.</v>
      </c>
      <c r="W22" s="1043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</row>
    <row r="24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</row>
    <row r="25">
      <c r="A25" s="1269" t="str">
        <v>جمع‌بندی مدیریتی عملکرد هفتگی</v>
      </c>
      <c r="B25" s="1269"/>
      <c r="C25" s="1269"/>
      <c r="D25" s="1269"/>
      <c r="E25" s="1269"/>
      <c r="F25" s="1269"/>
      <c r="G25" s="1269"/>
      <c r="H25" s="1269"/>
      <c r="I25" s="1269"/>
      <c r="J25" s="1269"/>
      <c r="K25" s="1269"/>
      <c r="L25" s="1269"/>
      <c r="M25" s="1269"/>
      <c r="N25" s="1269"/>
      <c r="O25" s="1269"/>
      <c r="P25" s="1269"/>
      <c r="Q25" s="1269"/>
      <c r="R25" s="1269"/>
      <c r="S25" s="1269"/>
      <c r="T25" s="1269"/>
      <c r="U25" s="1269"/>
      <c r="V25" s="1269"/>
      <c r="W25" s="1269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</row>
    <row r="26">
      <c r="A26" s="1455" t="str">
        <v>هفته‌های دارای گزارش</v>
      </c>
      <c r="B26" s="1455"/>
      <c r="C26" s="1455"/>
      <c r="D26" s="1455"/>
      <c r="E26" s="1455"/>
      <c r="F26" s="61"/>
      <c r="G26" s="1456" t="str">
        <v>بهترین امتیاز هفتگی</v>
      </c>
      <c r="H26" s="1456"/>
      <c r="I26" s="1456"/>
      <c r="J26" s="1456"/>
      <c r="K26" s="1456"/>
      <c r="L26" s="61"/>
      <c r="M26" s="1457" t="str">
        <v>مجموع کسری زمان</v>
      </c>
      <c r="N26" s="1457"/>
      <c r="O26" s="1457"/>
      <c r="P26" s="1457"/>
      <c r="Q26" s="1457"/>
      <c r="R26" s="61"/>
      <c r="S26" s="1389" t="str">
        <v>پوشش گزارش روزانه</v>
      </c>
      <c r="T26" s="1389"/>
      <c r="U26" s="1389"/>
      <c r="V26" s="1389"/>
      <c r="W26" s="1389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</row>
    <row r="27">
      <c r="A27" s="1394" t="n">
        <f>COUNTIF($S$11:$S$22,"&gt;0")</f>
        <v>0</v>
      </c>
      <c r="B27" s="1395"/>
      <c r="C27" s="1395"/>
      <c r="D27" s="1395"/>
      <c r="E27" s="1396"/>
      <c r="F27" s="61"/>
      <c r="G27" s="1458" t="n">
        <f>MAX($U$11:$U$22)</f>
        <v>0</v>
      </c>
      <c r="H27" s="1459"/>
      <c r="I27" s="1459"/>
      <c r="J27" s="1459"/>
      <c r="K27" s="1460"/>
      <c r="L27" s="61"/>
      <c r="M27" s="1461" t="n">
        <f>SUMPRODUCT(($D$11:$D$22-$E$11:$E$22)*($D$11:$D$22&gt;$E$11:$E$22))</f>
        <v>19440</v>
      </c>
      <c r="N27" s="1462"/>
      <c r="O27" s="1462"/>
      <c r="P27" s="1462"/>
      <c r="Q27" s="1463"/>
      <c r="R27" s="61"/>
      <c r="S27" s="1400" t="n">
        <f>IFERROR(SUM($S$11:$S$22)/SUM($C$11:$C$22),0)</f>
        <v>0</v>
      </c>
      <c r="T27" s="1402"/>
      <c r="U27" s="1402"/>
      <c r="V27" s="1402"/>
      <c r="W27" s="1403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</row>
    <row r="28">
      <c r="A28" s="1464"/>
      <c r="B28" s="1465"/>
      <c r="C28" s="1465"/>
      <c r="D28" s="1465"/>
      <c r="E28" s="1466"/>
      <c r="F28" s="61"/>
      <c r="G28" s="1467"/>
      <c r="H28" s="1468"/>
      <c r="I28" s="1468"/>
      <c r="J28" s="1468"/>
      <c r="K28" s="1469"/>
      <c r="L28" s="61"/>
      <c r="M28" s="1470"/>
      <c r="N28" s="1471"/>
      <c r="O28" s="1471"/>
      <c r="P28" s="1471"/>
      <c r="Q28" s="1472"/>
      <c r="R28" s="61"/>
      <c r="S28" s="1473"/>
      <c r="T28" s="1474"/>
      <c r="U28" s="1474"/>
      <c r="V28" s="1474"/>
      <c r="W28" s="1475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</row>
    <row r="29">
      <c r="A29" s="1407"/>
      <c r="B29" s="1408"/>
      <c r="C29" s="1408"/>
      <c r="D29" s="1408"/>
      <c r="E29" s="1409"/>
      <c r="F29" s="61"/>
      <c r="G29" s="1476"/>
      <c r="H29" s="1477"/>
      <c r="I29" s="1477"/>
      <c r="J29" s="1477"/>
      <c r="K29" s="1478"/>
      <c r="L29" s="61"/>
      <c r="M29" s="1479"/>
      <c r="N29" s="1480"/>
      <c r="O29" s="1480"/>
      <c r="P29" s="1480"/>
      <c r="Q29" s="1481"/>
      <c r="R29" s="61"/>
      <c r="S29" s="1413"/>
      <c r="T29" s="1414"/>
      <c r="U29" s="1414"/>
      <c r="V29" s="1414"/>
      <c r="W29" s="1415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</row>
    <row r="30">
      <c r="A30" s="1482" t="str">
        <v>مبنای گزارش هفتگی، داده‌های واقعی ثبت‌شده در «گزارش روزانه» و وضعیت چک‌لیست «برنامه خرد» است.</v>
      </c>
      <c r="B30" s="1482"/>
      <c r="C30" s="1482"/>
      <c r="D30" s="1482"/>
      <c r="E30" s="1482"/>
      <c r="F30" s="1482"/>
      <c r="G30" s="1482"/>
      <c r="H30" s="1482"/>
      <c r="I30" s="1482"/>
      <c r="J30" s="1482"/>
      <c r="K30" s="1482"/>
      <c r="L30" s="1482"/>
      <c r="M30" s="1482"/>
      <c r="N30" s="1482"/>
      <c r="O30" s="1482"/>
      <c r="P30" s="1482"/>
      <c r="Q30" s="1482"/>
      <c r="R30" s="1482"/>
      <c r="S30" s="1482"/>
      <c r="T30" s="1482"/>
      <c r="U30" s="1482"/>
      <c r="V30" s="1482"/>
      <c r="W30" s="1482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</row>
    <row r="3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</row>
    <row r="3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</row>
    <row r="33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</row>
    <row r="34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</row>
    <row r="3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</row>
    <row r="36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</row>
    <row r="38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</row>
    <row r="39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</row>
    <row r="4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</row>
    <row r="42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</row>
    <row r="4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</row>
    <row r="44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</row>
    <row r="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</row>
    <row r="46">
      <c r="A46" s="720"/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720"/>
      <c r="AB46" s="720"/>
      <c r="AC46" s="720"/>
      <c r="AD46" s="720"/>
      <c r="AE46" s="720"/>
      <c r="AF46" s="720"/>
      <c r="AG46" s="720"/>
      <c r="AH46" s="720"/>
      <c r="AI46" s="720"/>
      <c r="AJ46" s="720"/>
      <c r="AK46" s="720"/>
      <c r="AL46" s="720"/>
      <c r="AM46" s="720"/>
      <c r="AN46" s="720"/>
      <c r="AO46" s="720"/>
      <c r="AP46" s="720"/>
      <c r="AQ46" s="720"/>
      <c r="AR46" s="720"/>
      <c r="AS46" s="720"/>
      <c r="AT46" s="720"/>
    </row>
    <row r="47">
      <c r="A47" s="720"/>
      <c r="B47" s="720"/>
      <c r="C47" s="720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0"/>
      <c r="P47" s="720"/>
      <c r="Q47" s="720"/>
      <c r="R47" s="720"/>
      <c r="S47" s="720"/>
      <c r="T47" s="720"/>
      <c r="U47" s="720"/>
      <c r="V47" s="720"/>
      <c r="W47" s="720"/>
      <c r="X47" s="720"/>
      <c r="Y47" s="720"/>
      <c r="Z47" s="720"/>
      <c r="AA47" s="720"/>
      <c r="AB47" s="720"/>
      <c r="AC47" s="720"/>
      <c r="AD47" s="720"/>
      <c r="AE47" s="720"/>
      <c r="AF47" s="720"/>
      <c r="AG47" s="720"/>
      <c r="AH47" s="720"/>
      <c r="AI47" s="720"/>
      <c r="AJ47" s="720"/>
      <c r="AK47" s="720"/>
      <c r="AL47" s="720"/>
      <c r="AM47" s="720"/>
      <c r="AN47" s="720"/>
      <c r="AO47" s="720"/>
      <c r="AP47" s="720"/>
      <c r="AQ47" s="720"/>
      <c r="AR47" s="720"/>
      <c r="AS47" s="720"/>
      <c r="AT47" s="720"/>
    </row>
    <row r="48">
      <c r="A48" s="720"/>
      <c r="B48" s="720"/>
      <c r="C48" s="720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20"/>
      <c r="V48" s="720"/>
      <c r="W48" s="720"/>
      <c r="X48" s="720"/>
      <c r="Y48" s="720"/>
      <c r="Z48" s="720"/>
      <c r="AA48" s="720"/>
      <c r="AB48" s="720"/>
      <c r="AC48" s="720"/>
      <c r="AD48" s="720"/>
      <c r="AE48" s="720"/>
      <c r="AF48" s="720"/>
      <c r="AG48" s="720"/>
      <c r="AH48" s="720"/>
      <c r="AI48" s="720"/>
      <c r="AJ48" s="720"/>
      <c r="AK48" s="720"/>
      <c r="AL48" s="720"/>
      <c r="AM48" s="720"/>
      <c r="AN48" s="720"/>
      <c r="AO48" s="720"/>
      <c r="AP48" s="720"/>
      <c r="AQ48" s="720"/>
      <c r="AR48" s="720"/>
      <c r="AS48" s="720"/>
      <c r="AT48" s="720"/>
    </row>
    <row r="49">
      <c r="A49" s="720"/>
      <c r="B49" s="720"/>
      <c r="C49" s="720"/>
      <c r="D49" s="720"/>
      <c r="E49" s="720"/>
      <c r="F49" s="720"/>
      <c r="G49" s="720"/>
      <c r="H49" s="720"/>
      <c r="I49" s="720"/>
      <c r="J49" s="720"/>
      <c r="K49" s="720"/>
      <c r="L49" s="720"/>
      <c r="M49" s="720"/>
      <c r="N49" s="720"/>
      <c r="O49" s="720"/>
      <c r="P49" s="720"/>
      <c r="Q49" s="720"/>
      <c r="R49" s="720"/>
      <c r="S49" s="720"/>
      <c r="T49" s="720"/>
      <c r="U49" s="720"/>
      <c r="V49" s="720"/>
      <c r="W49" s="720"/>
      <c r="X49" s="720"/>
      <c r="Y49" s="720"/>
      <c r="Z49" s="720"/>
      <c r="AA49" s="720"/>
      <c r="AB49" s="720"/>
      <c r="AC49" s="720"/>
      <c r="AD49" s="720"/>
      <c r="AE49" s="720"/>
      <c r="AF49" s="720"/>
      <c r="AG49" s="720"/>
      <c r="AH49" s="720"/>
      <c r="AI49" s="720"/>
      <c r="AJ49" s="720"/>
      <c r="AK49" s="720"/>
      <c r="AL49" s="720"/>
      <c r="AM49" s="720"/>
      <c r="AN49" s="720"/>
      <c r="AO49" s="720"/>
      <c r="AP49" s="720"/>
      <c r="AQ49" s="720"/>
      <c r="AR49" s="720"/>
      <c r="AS49" s="720"/>
      <c r="AT49" s="720"/>
    </row>
    <row r="50">
      <c r="A50" s="720"/>
      <c r="B50" s="720"/>
      <c r="C50" s="720"/>
      <c r="D50" s="720"/>
      <c r="E50" s="720"/>
      <c r="F50" s="720"/>
      <c r="G50" s="720"/>
      <c r="H50" s="720"/>
      <c r="I50" s="720"/>
      <c r="J50" s="720"/>
      <c r="K50" s="720"/>
      <c r="L50" s="720"/>
      <c r="M50" s="720"/>
      <c r="N50" s="720"/>
      <c r="O50" s="720"/>
      <c r="P50" s="720"/>
      <c r="Q50" s="720"/>
      <c r="R50" s="720"/>
      <c r="S50" s="720"/>
      <c r="T50" s="720"/>
      <c r="U50" s="720"/>
      <c r="V50" s="720"/>
      <c r="W50" s="720"/>
      <c r="X50" s="720"/>
      <c r="Y50" s="720"/>
      <c r="Z50" s="720"/>
      <c r="AA50" s="720"/>
      <c r="AB50" s="720"/>
      <c r="AC50" s="720"/>
      <c r="AD50" s="720"/>
      <c r="AE50" s="720"/>
      <c r="AF50" s="720"/>
      <c r="AG50" s="720"/>
      <c r="AH50" s="720"/>
      <c r="AI50" s="720"/>
      <c r="AJ50" s="720"/>
      <c r="AK50" s="720"/>
      <c r="AL50" s="720"/>
      <c r="AM50" s="720"/>
      <c r="AN50" s="720"/>
      <c r="AO50" s="720"/>
      <c r="AP50" s="720"/>
      <c r="AQ50" s="720"/>
      <c r="AR50" s="720"/>
      <c r="AS50" s="720"/>
      <c r="AT50" s="720"/>
    </row>
  </sheetData>
  <mergeCells>
    <mergeCell ref="A1:W2"/>
    <mergeCell ref="A3:W3"/>
    <mergeCell ref="A5:D5"/>
    <mergeCell ref="A6:D7"/>
    <mergeCell ref="E5:H5"/>
    <mergeCell ref="E6:H7"/>
    <mergeCell ref="I5:L5"/>
    <mergeCell ref="I6:L7"/>
    <mergeCell ref="M5:P5"/>
    <mergeCell ref="M6:P7"/>
    <mergeCell ref="Q5:T5"/>
    <mergeCell ref="Q6:T7"/>
    <mergeCell ref="U5:W5"/>
    <mergeCell ref="U6:W7"/>
    <mergeCell ref="A25:W25"/>
    <mergeCell ref="A26:E26"/>
    <mergeCell ref="A27:E29"/>
    <mergeCell ref="G26:K26"/>
    <mergeCell ref="G27:K29"/>
    <mergeCell ref="M26:Q26"/>
    <mergeCell ref="M27:Q29"/>
    <mergeCell ref="S26:W26"/>
    <mergeCell ref="S27:W29"/>
    <mergeCell ref="A30:W30"/>
  </mergeCells>
  <conditionalFormatting sqref="F11:F22">
    <cfRule type="colorScale" priority="1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I11:I22">
    <cfRule type="colorScale" priority="2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L11:L22">
    <cfRule type="colorScale" priority="3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R11:R22">
    <cfRule type="colorScale" priority="4">
      <colorScale>
        <cfvo type="min"/>
        <cfvo type="percentile" val="50"/>
        <cfvo type="max"/>
        <color rgb="FFFDECEC"/>
        <color rgb="FFFFF7E6"/>
        <color rgb="FFECFDF3"/>
      </colorScale>
    </cfRule>
  </conditionalFormatting>
  <conditionalFormatting sqref="V11:V22">
    <cfRule type="expression" dxfId="47" priority="6">
      <formula>U11&gt;=0.9</formula>
    </cfRule>
    <cfRule type="expression" dxfId="48" priority="7">
      <formula>AND(U11&gt;=0.55,U11&lt;0.9)</formula>
    </cfRule>
    <cfRule type="expression" dxfId="49" priority="8">
      <formula>AND(S11&gt;0,U11&lt;0.55)</formula>
    </cfRule>
    <cfRule type="expression" dxfId="50" priority="9">
      <formula>S11=0</formula>
    </cfRule>
  </conditionalFormatting>
  <conditionalFormatting sqref="U11:U22">
    <cfRule type="dataBar" priority="10">
      <dataBar>
        <cfvo type="min"/>
        <cfvo type="max"/>
        <color rgb="FF7C3AED"/>
      </dataBar>
      <extLst>
        <ext uri="{B025F937-C7B1-47D3-B67F-A62EFF666E3E}">
          <ns1:id>{191B74BC-F787-B869-D34B-887D197CC0FE}</ns1:id>
        </ext>
      </extLst>
    </cfRule>
  </conditionalFormatting>
  <pageMargins left="0.7" right="0.7" top="0.75" bottom="0.75" header="0.3" footer="0.3"/>
  <drawing ns2:id="Raf721f24c3ff4ac7"/>
  <tableParts count="1">
    <tablePart ns2:id="Rdf9c2cbb924a471d"/>
  </tableParts>
  <extLst>
    <ext uri="{78C0D931-6437-407d-A8EE-F0AAD7539E65}">
      <ns1:conditionalFormattings>
        <ns1:conditionalFormatting>
          <ns1:cfRule type="dataBar" priority="10" id="{191B74BC-F787-B869-D34B-887D197CC0FE}">
            <ns1:dataBar gradient="1">
              <ns1:cfvo type="min"/>
              <ns1:cfvo type="max"/>
              <ns1:fillColor rgb="FF7C3AED"/>
            </ns1:dataBar>
          </ns1:cfRule>
          <ns3:sqref>U11:U22</ns3:sqref>
        </ns1:conditionalFormatting>
      </ns1:conditionalFormattings>
    </ext>
  </extLst>
</worksheet>
</file>